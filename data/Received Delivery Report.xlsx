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300" windowWidth="14880" windowHeight="1185" tabRatio="641" activeTab="1"/>
  </bookViews>
  <sheets>
    <sheet name="Company invoice detail" sheetId="1" r:id="rId1"/>
    <sheet name="Cheque list" sheetId="2" r:id="rId2"/>
    <sheet name="Credit sheet" sheetId="3" r:id="rId3"/>
    <sheet name="New Credit Sheet" sheetId="8" r:id="rId4"/>
    <sheet name="Discounts" sheetId="6" r:id="rId5"/>
    <sheet name="Attendence" sheetId="11" r:id="rId6"/>
    <sheet name="Received Ctns Details" sheetId="9" r:id="rId7"/>
    <sheet name="Contact.# W.S" sheetId="12" r:id="rId8"/>
    <sheet name="Sheet1" sheetId="13" r:id="rId9"/>
  </sheets>
  <definedNames>
    <definedName name="_xlnm._FilterDatabase" localSheetId="1" hidden="1">'Cheque list'!$B$3:$N$503</definedName>
    <definedName name="_xlnm._FilterDatabase" localSheetId="2" hidden="1">'Credit sheet'!$A$3:$S$65</definedName>
    <definedName name="_xlnm._FilterDatabase" localSheetId="4" hidden="1">Discounts!$C$37:$H$79</definedName>
    <definedName name="_xlnm._FilterDatabase" localSheetId="3" hidden="1">'New Credit Sheet'!$B$5:$V$453</definedName>
  </definedNames>
  <calcPr calcId="124519"/>
</workbook>
</file>

<file path=xl/calcChain.xml><?xml version="1.0" encoding="utf-8"?>
<calcChain xmlns="http://schemas.openxmlformats.org/spreadsheetml/2006/main">
  <c r="I503" i="2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R351" i="8" l="1"/>
  <c r="P418" l="1"/>
  <c r="R12"/>
  <c r="J453"/>
  <c r="S453" s="1"/>
  <c r="J452"/>
  <c r="S452" s="1"/>
  <c r="J451"/>
  <c r="S451" s="1"/>
  <c r="J450"/>
  <c r="S450" s="1"/>
  <c r="J449"/>
  <c r="S449" s="1"/>
  <c r="J448"/>
  <c r="S448" s="1"/>
  <c r="J447"/>
  <c r="S447" s="1"/>
  <c r="J446"/>
  <c r="S446" s="1"/>
  <c r="J445"/>
  <c r="S445" s="1"/>
  <c r="J444"/>
  <c r="S444" s="1"/>
  <c r="J443"/>
  <c r="S443" s="1"/>
  <c r="J442"/>
  <c r="S442" s="1"/>
  <c r="J441"/>
  <c r="S441" s="1"/>
  <c r="J440"/>
  <c r="S440" s="1"/>
  <c r="J439"/>
  <c r="S439" s="1"/>
  <c r="J438"/>
  <c r="S438" s="1"/>
  <c r="H196"/>
  <c r="G386" i="6" l="1"/>
  <c r="F630" i="1"/>
  <c r="K637" s="1"/>
  <c r="L637" s="1"/>
  <c r="G630"/>
  <c r="J437" i="8" l="1"/>
  <c r="S437" s="1"/>
  <c r="J436"/>
  <c r="S436" s="1"/>
  <c r="J435"/>
  <c r="S435" s="1"/>
  <c r="J434"/>
  <c r="S434" s="1"/>
  <c r="J433"/>
  <c r="S433" s="1"/>
  <c r="J432"/>
  <c r="S432" s="1"/>
  <c r="J431"/>
  <c r="S431" s="1"/>
  <c r="J430"/>
  <c r="S430" s="1"/>
  <c r="J429"/>
  <c r="S429" s="1"/>
  <c r="J428"/>
  <c r="S428" s="1"/>
  <c r="J427"/>
  <c r="S427" s="1"/>
  <c r="J426"/>
  <c r="S426" s="1"/>
  <c r="J425"/>
  <c r="S425" s="1"/>
  <c r="I476" i="2"/>
  <c r="I475"/>
  <c r="I474"/>
  <c r="I473"/>
  <c r="I472"/>
  <c r="I471"/>
  <c r="I470"/>
  <c r="I469"/>
  <c r="I468"/>
  <c r="I467"/>
  <c r="I466"/>
  <c r="I465"/>
  <c r="I464"/>
  <c r="I463"/>
  <c r="I462"/>
  <c r="Q376" i="8" l="1"/>
  <c r="I461" i="2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G386" i="8"/>
  <c r="J455" i="6" l="1"/>
  <c r="J454"/>
  <c r="J453"/>
  <c r="J452"/>
  <c r="J451"/>
  <c r="J450"/>
  <c r="J449"/>
  <c r="J448"/>
  <c r="J447"/>
  <c r="J446"/>
  <c r="J445"/>
  <c r="J444"/>
  <c r="J443"/>
  <c r="J442"/>
  <c r="J441"/>
  <c r="J440"/>
  <c r="J439"/>
  <c r="J438"/>
  <c r="J437"/>
  <c r="J436"/>
  <c r="J435"/>
  <c r="J434"/>
  <c r="J433"/>
  <c r="J432"/>
  <c r="J431"/>
  <c r="J430"/>
  <c r="J429"/>
  <c r="J428"/>
  <c r="J427"/>
  <c r="J426"/>
  <c r="J425"/>
  <c r="J424"/>
  <c r="J423"/>
  <c r="J422"/>
  <c r="J421"/>
  <c r="J420"/>
  <c r="J419"/>
  <c r="J418"/>
  <c r="J417"/>
  <c r="J416"/>
  <c r="J415"/>
  <c r="J414"/>
  <c r="I439" i="2"/>
  <c r="I438"/>
  <c r="I437"/>
  <c r="I436"/>
  <c r="I435"/>
  <c r="I434"/>
  <c r="I433"/>
  <c r="I432"/>
  <c r="I431"/>
  <c r="I430"/>
  <c r="I429"/>
  <c r="I428"/>
  <c r="I427"/>
  <c r="I426"/>
  <c r="I425"/>
  <c r="I424"/>
  <c r="I423"/>
  <c r="R295" i="8"/>
  <c r="H386" i="6" l="1"/>
  <c r="P376" i="8"/>
  <c r="J424" l="1"/>
  <c r="S424" s="1"/>
  <c r="J423"/>
  <c r="S423" s="1"/>
  <c r="J422"/>
  <c r="S422" s="1"/>
  <c r="J421"/>
  <c r="S421" s="1"/>
  <c r="J420"/>
  <c r="S420" s="1"/>
  <c r="J419"/>
  <c r="S419" s="1"/>
  <c r="J418"/>
  <c r="S418" s="1"/>
  <c r="J417"/>
  <c r="S417" s="1"/>
  <c r="J416"/>
  <c r="S416" s="1"/>
  <c r="J415"/>
  <c r="S415" s="1"/>
  <c r="J414"/>
  <c r="S414" s="1"/>
  <c r="J413"/>
  <c r="S413" s="1"/>
  <c r="J412"/>
  <c r="S412" s="1"/>
  <c r="J411"/>
  <c r="S411" s="1"/>
  <c r="J410"/>
  <c r="S410" s="1"/>
  <c r="J409"/>
  <c r="S409" s="1"/>
  <c r="J408"/>
  <c r="S408" s="1"/>
  <c r="J407"/>
  <c r="S407" s="1"/>
  <c r="J406"/>
  <c r="S406" s="1"/>
  <c r="J405"/>
  <c r="S405" s="1"/>
  <c r="J404"/>
  <c r="S404" s="1"/>
  <c r="J403"/>
  <c r="S403" s="1"/>
  <c r="J402"/>
  <c r="S402" s="1"/>
  <c r="J401"/>
  <c r="S401" s="1"/>
  <c r="J400"/>
  <c r="S400" s="1"/>
  <c r="J399"/>
  <c r="S399" s="1"/>
  <c r="J398"/>
  <c r="S398" s="1"/>
  <c r="J397"/>
  <c r="S397" s="1"/>
  <c r="J396"/>
  <c r="S396" s="1"/>
  <c r="J395"/>
  <c r="S395" s="1"/>
  <c r="J394"/>
  <c r="S394" s="1"/>
  <c r="J393"/>
  <c r="S393" s="1"/>
  <c r="J392"/>
  <c r="S392" s="1"/>
  <c r="J391"/>
  <c r="S391" s="1"/>
  <c r="G267" i="6"/>
  <c r="I422" i="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J134" i="6" l="1"/>
  <c r="R251" i="8" l="1"/>
  <c r="I395" i="2" l="1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J413" i="6" l="1"/>
  <c r="J412"/>
  <c r="J411"/>
  <c r="J410"/>
  <c r="J409"/>
  <c r="J408"/>
  <c r="J378"/>
  <c r="J377"/>
  <c r="J376"/>
  <c r="J375"/>
  <c r="J374"/>
  <c r="J373"/>
  <c r="J372"/>
  <c r="J371"/>
  <c r="J370"/>
  <c r="J369"/>
  <c r="J368"/>
  <c r="J367"/>
  <c r="J344"/>
  <c r="J345"/>
  <c r="J346"/>
  <c r="J347"/>
  <c r="J348"/>
  <c r="J349"/>
  <c r="J350"/>
  <c r="J351"/>
  <c r="J352"/>
  <c r="J353"/>
  <c r="J354"/>
  <c r="J355"/>
  <c r="J356"/>
  <c r="J357"/>
  <c r="J358"/>
  <c r="J359"/>
  <c r="J366"/>
  <c r="J365"/>
  <c r="J364"/>
  <c r="J363"/>
  <c r="J362"/>
  <c r="J361"/>
  <c r="J360"/>
  <c r="J343"/>
  <c r="H118" i="8" l="1"/>
  <c r="H103"/>
  <c r="R93"/>
  <c r="H239" l="1"/>
  <c r="J342" i="6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I362" i="2"/>
  <c r="I361"/>
  <c r="I360"/>
  <c r="I359"/>
  <c r="I358"/>
  <c r="I357"/>
  <c r="I356"/>
  <c r="I355"/>
  <c r="I354"/>
  <c r="I353"/>
  <c r="I352"/>
  <c r="I351"/>
  <c r="Q283" i="8" l="1"/>
  <c r="H151"/>
  <c r="I350" i="2"/>
  <c r="I349"/>
  <c r="I348"/>
  <c r="I347"/>
  <c r="I346"/>
  <c r="I345"/>
  <c r="I344"/>
  <c r="I343"/>
  <c r="I342"/>
  <c r="I341"/>
  <c r="I340"/>
  <c r="I339"/>
  <c r="I338"/>
  <c r="I337"/>
  <c r="I336" l="1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J390" i="8" l="1"/>
  <c r="S390" s="1"/>
  <c r="J389"/>
  <c r="S389" s="1"/>
  <c r="J388"/>
  <c r="S388" s="1"/>
  <c r="J387"/>
  <c r="S387" s="1"/>
  <c r="J386"/>
  <c r="S386" s="1"/>
  <c r="J385"/>
  <c r="S385" s="1"/>
  <c r="J384"/>
  <c r="S384" s="1"/>
  <c r="J383"/>
  <c r="S383" s="1"/>
  <c r="J382"/>
  <c r="S382" s="1"/>
  <c r="J381"/>
  <c r="S381" s="1"/>
  <c r="J380"/>
  <c r="S380" s="1"/>
  <c r="J379"/>
  <c r="S379" s="1"/>
  <c r="J378"/>
  <c r="S378" s="1"/>
  <c r="J377"/>
  <c r="S377" s="1"/>
  <c r="J376"/>
  <c r="S376" s="1"/>
  <c r="J375"/>
  <c r="S375" s="1"/>
  <c r="J374"/>
  <c r="S374" s="1"/>
  <c r="J373"/>
  <c r="S373" s="1"/>
  <c r="J372"/>
  <c r="S372" s="1"/>
  <c r="J371"/>
  <c r="S371" s="1"/>
  <c r="J370"/>
  <c r="S370" s="1"/>
  <c r="J369"/>
  <c r="J368"/>
  <c r="S368" s="1"/>
  <c r="J367"/>
  <c r="S367" s="1"/>
  <c r="J366"/>
  <c r="S366" s="1"/>
  <c r="J365"/>
  <c r="S365" s="1"/>
  <c r="J364"/>
  <c r="S364" s="1"/>
  <c r="J363"/>
  <c r="S363" s="1"/>
  <c r="J362"/>
  <c r="S362" s="1"/>
  <c r="J361"/>
  <c r="S361" s="1"/>
  <c r="J360"/>
  <c r="S360" s="1"/>
  <c r="J359"/>
  <c r="J358"/>
  <c r="S358" s="1"/>
  <c r="J357"/>
  <c r="S357" s="1"/>
  <c r="J356"/>
  <c r="S356" s="1"/>
  <c r="J355"/>
  <c r="S355" s="1"/>
  <c r="J354"/>
  <c r="S354" s="1"/>
  <c r="J353"/>
  <c r="S353" s="1"/>
  <c r="J352"/>
  <c r="S352" s="1"/>
  <c r="J351"/>
  <c r="S351" s="1"/>
  <c r="J350"/>
  <c r="S350" s="1"/>
  <c r="J349"/>
  <c r="S349" s="1"/>
  <c r="J348"/>
  <c r="S348" s="1"/>
  <c r="J347"/>
  <c r="S347" s="1"/>
  <c r="J346"/>
  <c r="S346" s="1"/>
  <c r="J345"/>
  <c r="J344"/>
  <c r="S344" s="1"/>
  <c r="J343"/>
  <c r="S343" s="1"/>
  <c r="F494" i="1"/>
  <c r="I315" i="2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G679" i="1" l="1"/>
  <c r="I283" i="2"/>
  <c r="I282"/>
  <c r="I281"/>
  <c r="I280"/>
  <c r="I279"/>
  <c r="I278"/>
  <c r="I277"/>
  <c r="I276"/>
  <c r="I275"/>
  <c r="I274"/>
  <c r="I273"/>
  <c r="I272"/>
  <c r="I271"/>
  <c r="I270"/>
  <c r="S490" i="1"/>
  <c r="G680" l="1"/>
  <c r="AI56" i="11"/>
  <c r="AI55"/>
  <c r="AI54"/>
  <c r="AI53"/>
  <c r="AI52"/>
  <c r="AI51"/>
  <c r="AI50"/>
  <c r="AI49"/>
  <c r="AI47"/>
  <c r="AI46"/>
  <c r="AI45"/>
  <c r="AI44"/>
  <c r="AI41"/>
  <c r="AI40"/>
  <c r="AI39"/>
  <c r="I269" i="2" l="1"/>
  <c r="I268"/>
  <c r="I267"/>
  <c r="I266"/>
  <c r="I265"/>
  <c r="I264"/>
  <c r="I263"/>
  <c r="I262"/>
  <c r="I261"/>
  <c r="I260"/>
  <c r="J494" i="1"/>
  <c r="J342" i="8"/>
  <c r="S342" s="1"/>
  <c r="J341"/>
  <c r="S341" s="1"/>
  <c r="J340"/>
  <c r="S340" s="1"/>
  <c r="J339"/>
  <c r="S339" s="1"/>
  <c r="J338"/>
  <c r="S338" s="1"/>
  <c r="J337"/>
  <c r="S337" s="1"/>
  <c r="J336"/>
  <c r="S336" s="1"/>
  <c r="J335"/>
  <c r="S335" s="1"/>
  <c r="J334"/>
  <c r="S334" s="1"/>
  <c r="J333"/>
  <c r="S333" s="1"/>
  <c r="J332"/>
  <c r="S332" s="1"/>
  <c r="J331"/>
  <c r="S331" s="1"/>
  <c r="J330"/>
  <c r="S330" s="1"/>
  <c r="J329"/>
  <c r="S329" s="1"/>
  <c r="J328"/>
  <c r="S328" s="1"/>
  <c r="J327"/>
  <c r="S327" s="1"/>
  <c r="J326"/>
  <c r="S326" s="1"/>
  <c r="J325"/>
  <c r="S325" s="1"/>
  <c r="J324"/>
  <c r="S324" s="1"/>
  <c r="J323"/>
  <c r="S323" s="1"/>
  <c r="J322"/>
  <c r="S322" s="1"/>
  <c r="J321"/>
  <c r="S321" s="1"/>
  <c r="J320"/>
  <c r="S320" s="1"/>
  <c r="J319"/>
  <c r="S319" s="1"/>
  <c r="J318"/>
  <c r="S318" s="1"/>
  <c r="J317"/>
  <c r="J316"/>
  <c r="S316" s="1"/>
  <c r="J315"/>
  <c r="S315" s="1"/>
  <c r="J314"/>
  <c r="S314" s="1"/>
  <c r="J313"/>
  <c r="S313" s="1"/>
  <c r="H243" i="6" l="1"/>
  <c r="I259" i="2"/>
  <c r="I258"/>
  <c r="I257"/>
  <c r="I256"/>
  <c r="I255"/>
  <c r="I254"/>
  <c r="I253"/>
  <c r="I252"/>
  <c r="I251"/>
  <c r="I250"/>
  <c r="I249"/>
  <c r="I248"/>
  <c r="I247"/>
  <c r="I246"/>
  <c r="G243" i="6" l="1"/>
  <c r="I221" l="1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 l="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I245" i="2" l="1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K494" i="1" l="1"/>
  <c r="I218" i="2"/>
  <c r="I217"/>
  <c r="I216"/>
  <c r="I215"/>
  <c r="I214"/>
  <c r="I213"/>
  <c r="I212"/>
  <c r="I211"/>
  <c r="I210"/>
  <c r="I209"/>
  <c r="I208"/>
  <c r="I207"/>
  <c r="I206"/>
  <c r="I205"/>
  <c r="J312" i="8"/>
  <c r="S312" s="1"/>
  <c r="J311"/>
  <c r="S311" s="1"/>
  <c r="J310"/>
  <c r="S310" s="1"/>
  <c r="J309"/>
  <c r="S309" s="1"/>
  <c r="J308"/>
  <c r="S308" s="1"/>
  <c r="J307"/>
  <c r="S307" s="1"/>
  <c r="J306"/>
  <c r="S306" s="1"/>
  <c r="J305"/>
  <c r="S305" s="1"/>
  <c r="J304"/>
  <c r="S304" s="1"/>
  <c r="J303"/>
  <c r="S303" s="1"/>
  <c r="J302"/>
  <c r="S302" s="1"/>
  <c r="J301"/>
  <c r="S301" s="1"/>
  <c r="J300"/>
  <c r="S300" s="1"/>
  <c r="J299"/>
  <c r="S299" s="1"/>
  <c r="J298"/>
  <c r="S298" s="1"/>
  <c r="J297"/>
  <c r="S297" s="1"/>
  <c r="J296"/>
  <c r="S296" s="1"/>
  <c r="J295"/>
  <c r="S295" s="1"/>
  <c r="J294"/>
  <c r="J293"/>
  <c r="S293" s="1"/>
  <c r="J292"/>
  <c r="S292" s="1"/>
  <c r="J291"/>
  <c r="S291" s="1"/>
  <c r="J290"/>
  <c r="S290" s="1"/>
  <c r="J289"/>
  <c r="S289" s="1"/>
  <c r="J288"/>
  <c r="S288" s="1"/>
  <c r="J287"/>
  <c r="S287" s="1"/>
  <c r="J286"/>
  <c r="S286" s="1"/>
  <c r="J285"/>
  <c r="S285" s="1"/>
  <c r="J284"/>
  <c r="S284" s="1"/>
  <c r="J283"/>
  <c r="S283" s="1"/>
  <c r="J282"/>
  <c r="S282" s="1"/>
  <c r="J281"/>
  <c r="S281" s="1"/>
  <c r="J280"/>
  <c r="S280" s="1"/>
  <c r="J279"/>
  <c r="S279" s="1"/>
  <c r="J278"/>
  <c r="S278" s="1"/>
  <c r="J277"/>
  <c r="S277" s="1"/>
  <c r="J276"/>
  <c r="S276" s="1"/>
  <c r="J275"/>
  <c r="S275" s="1"/>
  <c r="J274"/>
  <c r="S274" s="1"/>
  <c r="J273"/>
  <c r="S273" s="1"/>
  <c r="J272"/>
  <c r="S272" s="1"/>
  <c r="J271"/>
  <c r="S271" s="1"/>
  <c r="J270" l="1"/>
  <c r="S270" s="1"/>
  <c r="J269"/>
  <c r="S269" s="1"/>
  <c r="J268"/>
  <c r="S268" s="1"/>
  <c r="J267"/>
  <c r="S267" s="1"/>
  <c r="J266"/>
  <c r="S266" s="1"/>
  <c r="J265"/>
  <c r="S265" s="1"/>
  <c r="J264"/>
  <c r="S264" s="1"/>
  <c r="J263"/>
  <c r="S263" s="1"/>
  <c r="J262"/>
  <c r="S262" s="1"/>
  <c r="J261"/>
  <c r="S261" s="1"/>
  <c r="J260"/>
  <c r="S260" s="1"/>
  <c r="J259"/>
  <c r="S259" s="1"/>
  <c r="J258"/>
  <c r="S258" s="1"/>
  <c r="J257"/>
  <c r="S257" s="1"/>
  <c r="J256"/>
  <c r="S256" s="1"/>
  <c r="J255"/>
  <c r="S255" s="1"/>
  <c r="J254"/>
  <c r="S254" s="1"/>
  <c r="J253"/>
  <c r="S253" s="1"/>
  <c r="J252"/>
  <c r="S252" s="1"/>
  <c r="J251"/>
  <c r="S251" s="1"/>
  <c r="J250"/>
  <c r="S250" s="1"/>
  <c r="J249"/>
  <c r="S249" s="1"/>
  <c r="J248"/>
  <c r="S248" s="1"/>
  <c r="J247"/>
  <c r="S247" s="1"/>
  <c r="I204" i="2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J167" i="6" l="1"/>
  <c r="J173"/>
  <c r="J176"/>
  <c r="J179"/>
  <c r="J182"/>
  <c r="J185"/>
  <c r="J188"/>
  <c r="J187"/>
  <c r="J186"/>
  <c r="J184"/>
  <c r="J183"/>
  <c r="J181"/>
  <c r="J180"/>
  <c r="J178"/>
  <c r="J177"/>
  <c r="J175"/>
  <c r="J174"/>
  <c r="J163"/>
  <c r="J157"/>
  <c r="J143"/>
  <c r="J147"/>
  <c r="J153"/>
  <c r="J137" l="1"/>
  <c r="J172"/>
  <c r="J171"/>
  <c r="J170"/>
  <c r="J169"/>
  <c r="J168"/>
  <c r="J166"/>
  <c r="J165"/>
  <c r="J164"/>
  <c r="J162"/>
  <c r="J161"/>
  <c r="J160"/>
  <c r="J159"/>
  <c r="J158"/>
  <c r="J156"/>
  <c r="J155"/>
  <c r="J154"/>
  <c r="J152"/>
  <c r="J151"/>
  <c r="J150"/>
  <c r="J149"/>
  <c r="J148"/>
  <c r="J146"/>
  <c r="J145"/>
  <c r="J144"/>
  <c r="J142"/>
  <c r="J141"/>
  <c r="J140"/>
  <c r="J139"/>
  <c r="J138"/>
  <c r="J136"/>
  <c r="J135"/>
  <c r="I162" i="2" l="1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J226" i="8" l="1"/>
  <c r="S226" s="1"/>
  <c r="J225"/>
  <c r="S225" s="1"/>
  <c r="J224"/>
  <c r="S224" s="1"/>
  <c r="J223"/>
  <c r="S223" s="1"/>
  <c r="J222"/>
  <c r="S222" s="1"/>
  <c r="J221"/>
  <c r="S221" s="1"/>
  <c r="J220"/>
  <c r="S220" s="1"/>
  <c r="J219"/>
  <c r="S219" s="1"/>
  <c r="J218"/>
  <c r="S218" s="1"/>
  <c r="J217"/>
  <c r="S217" s="1"/>
  <c r="J216"/>
  <c r="S216" s="1"/>
  <c r="J215"/>
  <c r="S215" s="1"/>
  <c r="J214"/>
  <c r="S214" s="1"/>
  <c r="J213"/>
  <c r="S213" s="1"/>
  <c r="J212"/>
  <c r="S212" s="1"/>
  <c r="J211"/>
  <c r="S211" s="1"/>
  <c r="J210"/>
  <c r="S210" s="1"/>
  <c r="J209"/>
  <c r="S209" s="1"/>
  <c r="J208"/>
  <c r="S208" s="1"/>
  <c r="J236"/>
  <c r="S236" s="1"/>
  <c r="J235"/>
  <c r="S235" s="1"/>
  <c r="J234"/>
  <c r="S234" s="1"/>
  <c r="J233"/>
  <c r="S233" s="1"/>
  <c r="J232"/>
  <c r="S232" s="1"/>
  <c r="J231"/>
  <c r="S231" s="1"/>
  <c r="J230"/>
  <c r="S230" s="1"/>
  <c r="J229"/>
  <c r="S229" s="1"/>
  <c r="J228"/>
  <c r="S228" s="1"/>
  <c r="J227"/>
  <c r="S227" s="1"/>
  <c r="J241"/>
  <c r="S241" s="1"/>
  <c r="J240"/>
  <c r="S240" s="1"/>
  <c r="J239"/>
  <c r="S239" s="1"/>
  <c r="J238"/>
  <c r="S238" s="1"/>
  <c r="J237"/>
  <c r="S237" s="1"/>
  <c r="J246"/>
  <c r="S246" s="1"/>
  <c r="J245"/>
  <c r="S245" s="1"/>
  <c r="J244"/>
  <c r="S244" s="1"/>
  <c r="J243"/>
  <c r="S243" s="1"/>
  <c r="J242"/>
  <c r="S242" s="1"/>
  <c r="J204"/>
  <c r="S204" s="1"/>
  <c r="J207"/>
  <c r="S207" s="1"/>
  <c r="J206"/>
  <c r="S206" s="1"/>
  <c r="J205"/>
  <c r="S205" s="1"/>
  <c r="AI10" i="11" l="1"/>
  <c r="I85" i="2" l="1"/>
  <c r="I84"/>
  <c r="I83"/>
  <c r="I82"/>
  <c r="I81"/>
  <c r="I80"/>
  <c r="I79"/>
  <c r="I78"/>
  <c r="I77"/>
  <c r="I76"/>
  <c r="I75"/>
  <c r="I74"/>
  <c r="I73"/>
  <c r="AI24" i="11" l="1"/>
  <c r="I72" i="2" l="1"/>
  <c r="I71"/>
  <c r="I70"/>
  <c r="I69"/>
  <c r="I68"/>
  <c r="I67"/>
  <c r="I66"/>
  <c r="I65"/>
  <c r="I64"/>
  <c r="I63"/>
  <c r="I62"/>
  <c r="AI15" i="11" l="1"/>
  <c r="AI14"/>
  <c r="AI13"/>
  <c r="AI12"/>
  <c r="AI9"/>
  <c r="AI8"/>
  <c r="AI7"/>
  <c r="AI21"/>
  <c r="AI20"/>
  <c r="AI19"/>
  <c r="AI18"/>
  <c r="AI17"/>
  <c r="AI23"/>
  <c r="AI22"/>
  <c r="H116" i="6" l="1"/>
  <c r="G116"/>
  <c r="L331" i="1" l="1"/>
  <c r="L332" s="1"/>
  <c r="F329" l="1"/>
  <c r="J329" s="1"/>
  <c r="G535" l="1"/>
  <c r="G494"/>
  <c r="J121" i="6"/>
  <c r="J120"/>
  <c r="J119"/>
  <c r="J118"/>
  <c r="J117"/>
  <c r="J116"/>
  <c r="J115"/>
  <c r="J114"/>
  <c r="J113"/>
  <c r="J112"/>
  <c r="J111"/>
  <c r="J110"/>
  <c r="J109"/>
  <c r="J108"/>
  <c r="G536" i="1" l="1"/>
  <c r="I61" i="2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1"/>
  <c r="I38"/>
  <c r="I37"/>
  <c r="I36"/>
  <c r="I35"/>
  <c r="I34"/>
  <c r="I33"/>
  <c r="I32"/>
  <c r="J107" i="6" l="1"/>
  <c r="J106"/>
  <c r="J105"/>
  <c r="J104"/>
  <c r="J103"/>
  <c r="J102"/>
  <c r="J101"/>
  <c r="J100"/>
  <c r="J99"/>
  <c r="I18" i="2" l="1"/>
  <c r="I17"/>
  <c r="J203" i="8" l="1"/>
  <c r="S203" s="1"/>
  <c r="J202"/>
  <c r="S202" s="1"/>
  <c r="J201"/>
  <c r="S201" s="1"/>
  <c r="J98" i="6" l="1"/>
  <c r="J97"/>
  <c r="J96"/>
  <c r="J95"/>
  <c r="J94"/>
  <c r="J93"/>
  <c r="I30" i="2" l="1"/>
  <c r="I29"/>
  <c r="I28"/>
  <c r="I27"/>
  <c r="I26"/>
  <c r="I25"/>
  <c r="I24"/>
  <c r="I23"/>
  <c r="I22"/>
  <c r="I21"/>
  <c r="I20"/>
  <c r="I19"/>
  <c r="I16"/>
  <c r="J200" i="8" l="1"/>
  <c r="S200" s="1"/>
  <c r="J199"/>
  <c r="S199" s="1"/>
  <c r="J198"/>
  <c r="S198" s="1"/>
  <c r="J197"/>
  <c r="S197" s="1"/>
  <c r="J196"/>
  <c r="S196" s="1"/>
  <c r="J195"/>
  <c r="S195" s="1"/>
  <c r="J194"/>
  <c r="S194" s="1"/>
  <c r="J193"/>
  <c r="S193" s="1"/>
  <c r="J192"/>
  <c r="S192" s="1"/>
  <c r="J191"/>
  <c r="S191" s="1"/>
  <c r="J190"/>
  <c r="S190" s="1"/>
  <c r="J189"/>
  <c r="S189" s="1"/>
  <c r="J188"/>
  <c r="S188" s="1"/>
  <c r="J187"/>
  <c r="S187" s="1"/>
  <c r="J186"/>
  <c r="S186" s="1"/>
  <c r="J185"/>
  <c r="S185" s="1"/>
  <c r="J184"/>
  <c r="S184" s="1"/>
  <c r="J183"/>
  <c r="S183" s="1"/>
  <c r="J182"/>
  <c r="S182" s="1"/>
  <c r="J181"/>
  <c r="S181" s="1"/>
  <c r="J180"/>
  <c r="S180" s="1"/>
  <c r="J179"/>
  <c r="S179" s="1"/>
  <c r="J178"/>
  <c r="S178" s="1"/>
  <c r="J177"/>
  <c r="S177" s="1"/>
  <c r="J176"/>
  <c r="S176" s="1"/>
  <c r="J175"/>
  <c r="S175" s="1"/>
  <c r="J174"/>
  <c r="S174" s="1"/>
  <c r="I15" i="2" l="1"/>
  <c r="I14"/>
  <c r="I13"/>
  <c r="I12"/>
  <c r="I11"/>
  <c r="I10" l="1"/>
  <c r="I9" l="1"/>
  <c r="I8"/>
  <c r="I7"/>
  <c r="G329" i="1" l="1"/>
  <c r="K329" s="1"/>
  <c r="M329" s="1"/>
  <c r="L333" s="1"/>
  <c r="L335" s="1"/>
  <c r="J173" i="8" l="1"/>
  <c r="S173" s="1"/>
  <c r="J172"/>
  <c r="S172" s="1"/>
  <c r="J171"/>
  <c r="S171" s="1"/>
  <c r="J170"/>
  <c r="S170" s="1"/>
  <c r="J169"/>
  <c r="S169" s="1"/>
  <c r="J168"/>
  <c r="S168" s="1"/>
  <c r="J167"/>
  <c r="S167" s="1"/>
  <c r="J166"/>
  <c r="S166" s="1"/>
  <c r="J165"/>
  <c r="S165" s="1"/>
  <c r="J164"/>
  <c r="S164" s="1"/>
  <c r="J163"/>
  <c r="S163" s="1"/>
  <c r="J162"/>
  <c r="S162" s="1"/>
  <c r="J161"/>
  <c r="S161" s="1"/>
  <c r="J160"/>
  <c r="S160" s="1"/>
  <c r="I6" i="2" l="1"/>
  <c r="I5" l="1"/>
  <c r="P53" i="8" l="1"/>
  <c r="J53"/>
  <c r="J159" l="1"/>
  <c r="S159" s="1"/>
  <c r="J158"/>
  <c r="S158" s="1"/>
  <c r="J157"/>
  <c r="S157" s="1"/>
  <c r="J156"/>
  <c r="S156" s="1"/>
  <c r="J155"/>
  <c r="S155" s="1"/>
  <c r="J154"/>
  <c r="S154" s="1"/>
  <c r="J153"/>
  <c r="S153" s="1"/>
  <c r="J152"/>
  <c r="S152" s="1"/>
  <c r="J151"/>
  <c r="S151" s="1"/>
  <c r="J150"/>
  <c r="S150" s="1"/>
  <c r="J149"/>
  <c r="S149" s="1"/>
  <c r="J148"/>
  <c r="S148" s="1"/>
  <c r="J147"/>
  <c r="S147" s="1"/>
  <c r="J146"/>
  <c r="S146" s="1"/>
  <c r="J145" l="1"/>
  <c r="S145" s="1"/>
  <c r="J144"/>
  <c r="S144" s="1"/>
  <c r="J143"/>
  <c r="S143" s="1"/>
  <c r="J142"/>
  <c r="S142" s="1"/>
  <c r="J141"/>
  <c r="S141" s="1"/>
  <c r="J140"/>
  <c r="S140" s="1"/>
  <c r="J139"/>
  <c r="S139" s="1"/>
  <c r="J138"/>
  <c r="S138" s="1"/>
  <c r="J137"/>
  <c r="S137" s="1"/>
  <c r="J136"/>
  <c r="S136" s="1"/>
  <c r="J135"/>
  <c r="S135" s="1"/>
  <c r="J134"/>
  <c r="S134" s="1"/>
  <c r="J133"/>
  <c r="S133" s="1"/>
  <c r="J132"/>
  <c r="S132" s="1"/>
  <c r="J131"/>
  <c r="S131" s="1"/>
  <c r="J130"/>
  <c r="S130" s="1"/>
  <c r="J129"/>
  <c r="S129" s="1"/>
  <c r="J128"/>
  <c r="S128" s="1"/>
  <c r="J127"/>
  <c r="S127" s="1"/>
  <c r="J126"/>
  <c r="S126" s="1"/>
  <c r="J125"/>
  <c r="S125" s="1"/>
  <c r="J124"/>
  <c r="S124" s="1"/>
  <c r="J123"/>
  <c r="S123" s="1"/>
  <c r="J122"/>
  <c r="S122" s="1"/>
  <c r="J121"/>
  <c r="S121" s="1"/>
  <c r="J120"/>
  <c r="S120" s="1"/>
  <c r="J119"/>
  <c r="S119" s="1"/>
  <c r="J118"/>
  <c r="S118" s="1"/>
  <c r="J117"/>
  <c r="S117" s="1"/>
  <c r="J116"/>
  <c r="S116" s="1"/>
  <c r="J67" i="6" l="1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6"/>
  <c r="J65"/>
  <c r="J49"/>
  <c r="J64"/>
  <c r="J63"/>
  <c r="J62"/>
  <c r="J61"/>
  <c r="J60"/>
  <c r="J59"/>
  <c r="J58"/>
  <c r="J57"/>
  <c r="J56"/>
  <c r="J55"/>
  <c r="J54"/>
  <c r="J53"/>
  <c r="J52"/>
  <c r="J51"/>
  <c r="J48" l="1"/>
  <c r="J47"/>
  <c r="J46"/>
  <c r="J45"/>
  <c r="J44"/>
  <c r="J43"/>
  <c r="J42"/>
  <c r="J41"/>
  <c r="J40"/>
  <c r="J39"/>
  <c r="M38"/>
  <c r="L38"/>
  <c r="J38"/>
  <c r="G172" i="1" l="1"/>
  <c r="F172"/>
  <c r="L172" s="1"/>
  <c r="G378" l="1"/>
  <c r="G379" l="1"/>
  <c r="S8" i="8" l="1"/>
  <c r="P48"/>
  <c r="J115" l="1"/>
  <c r="S115" s="1"/>
  <c r="J114"/>
  <c r="S114" s="1"/>
  <c r="J113"/>
  <c r="S113" s="1"/>
  <c r="J112"/>
  <c r="S112" s="1"/>
  <c r="J111"/>
  <c r="S111" s="1"/>
  <c r="J110"/>
  <c r="S110" s="1"/>
  <c r="J109"/>
  <c r="S109" s="1"/>
  <c r="J108"/>
  <c r="S108" s="1"/>
  <c r="J107"/>
  <c r="S107" s="1"/>
  <c r="J106"/>
  <c r="S106" s="1"/>
  <c r="J105"/>
  <c r="S105" s="1"/>
  <c r="J104"/>
  <c r="S104" s="1"/>
  <c r="J103"/>
  <c r="S103" s="1"/>
  <c r="J102"/>
  <c r="S102" s="1"/>
  <c r="J101"/>
  <c r="S101" s="1"/>
  <c r="J100"/>
  <c r="S100" s="1"/>
  <c r="J99"/>
  <c r="S99" s="1"/>
  <c r="J98"/>
  <c r="S98" s="1"/>
  <c r="J97"/>
  <c r="S97" s="1"/>
  <c r="J96"/>
  <c r="S96" s="1"/>
  <c r="J95"/>
  <c r="S95" s="1"/>
  <c r="J94"/>
  <c r="S94" s="1"/>
  <c r="J93"/>
  <c r="S93" s="1"/>
  <c r="J92"/>
  <c r="S92" s="1"/>
  <c r="S91"/>
  <c r="S90"/>
  <c r="J89"/>
  <c r="S89" s="1"/>
  <c r="J88"/>
  <c r="S88" s="1"/>
  <c r="J87"/>
  <c r="S87" s="1"/>
  <c r="J86"/>
  <c r="S86" s="1"/>
  <c r="J85"/>
  <c r="S85" s="1"/>
  <c r="J84"/>
  <c r="S84" s="1"/>
  <c r="J83"/>
  <c r="S83" s="1"/>
  <c r="J82"/>
  <c r="S82" s="1"/>
  <c r="J81"/>
  <c r="S81" s="1"/>
  <c r="J80"/>
  <c r="S80" s="1"/>
  <c r="J79"/>
  <c r="S79" s="1"/>
  <c r="J78"/>
  <c r="S78" s="1"/>
  <c r="J77"/>
  <c r="S77" s="1"/>
  <c r="J76"/>
  <c r="S76" s="1"/>
  <c r="J75"/>
  <c r="S75" s="1"/>
  <c r="J74"/>
  <c r="S74" s="1"/>
  <c r="J73"/>
  <c r="S73" s="1"/>
  <c r="J72"/>
  <c r="S72" s="1"/>
  <c r="J71"/>
  <c r="S71" s="1"/>
  <c r="J70"/>
  <c r="S70" s="1"/>
  <c r="J69"/>
  <c r="S69" s="1"/>
  <c r="J68"/>
  <c r="S68" s="1"/>
  <c r="J67"/>
  <c r="S67" s="1"/>
  <c r="J66"/>
  <c r="S66" s="1"/>
  <c r="J65"/>
  <c r="S65" s="1"/>
  <c r="J64"/>
  <c r="S64" s="1"/>
  <c r="J63"/>
  <c r="S63" s="1"/>
  <c r="J62"/>
  <c r="S62" s="1"/>
  <c r="J61"/>
  <c r="S61" s="1"/>
  <c r="J60"/>
  <c r="S60" s="1"/>
  <c r="J59"/>
  <c r="S59" s="1"/>
  <c r="J58"/>
  <c r="S58" s="1"/>
  <c r="J57"/>
  <c r="S57" s="1"/>
  <c r="J56"/>
  <c r="S56" s="1"/>
  <c r="J55"/>
  <c r="S55" s="1"/>
  <c r="J54"/>
  <c r="S54" s="1"/>
  <c r="S53"/>
  <c r="J52"/>
  <c r="S52" s="1"/>
  <c r="J51"/>
  <c r="S51" s="1"/>
  <c r="J50"/>
  <c r="S50" s="1"/>
  <c r="J49"/>
  <c r="S49" s="1"/>
  <c r="J48"/>
  <c r="S48" s="1"/>
  <c r="J47"/>
  <c r="S47" s="1"/>
  <c r="J46"/>
  <c r="S46" s="1"/>
  <c r="J45"/>
  <c r="S45" s="1"/>
  <c r="J44"/>
  <c r="S44" s="1"/>
  <c r="J43"/>
  <c r="S43" s="1"/>
  <c r="J42"/>
  <c r="S42" s="1"/>
  <c r="J41"/>
  <c r="S41" s="1"/>
  <c r="J40"/>
  <c r="S40" s="1"/>
  <c r="J39"/>
  <c r="S39" s="1"/>
  <c r="J38"/>
  <c r="S38" s="1"/>
  <c r="J37"/>
  <c r="S37" s="1"/>
  <c r="J36"/>
  <c r="S36" s="1"/>
  <c r="J35"/>
  <c r="S35" s="1"/>
  <c r="J34"/>
  <c r="S34" s="1"/>
  <c r="J33"/>
  <c r="S33" s="1"/>
  <c r="J32"/>
  <c r="S32" s="1"/>
  <c r="J31"/>
  <c r="S31" s="1"/>
  <c r="J30"/>
  <c r="S30" s="1"/>
  <c r="J29"/>
  <c r="S29" s="1"/>
  <c r="J28"/>
  <c r="S28" s="1"/>
  <c r="J27"/>
  <c r="S27" s="1"/>
  <c r="J26"/>
  <c r="S26" s="1"/>
  <c r="S25"/>
  <c r="J24"/>
  <c r="S24" s="1"/>
  <c r="J23"/>
  <c r="S23" s="1"/>
  <c r="J22"/>
  <c r="S22" s="1"/>
  <c r="J21"/>
  <c r="S21" s="1"/>
  <c r="J20"/>
  <c r="S20" s="1"/>
  <c r="J19"/>
  <c r="S19" s="1"/>
  <c r="J18"/>
  <c r="S18" s="1"/>
  <c r="J17"/>
  <c r="S17" s="1"/>
  <c r="J16"/>
  <c r="S16" s="1"/>
  <c r="J15"/>
  <c r="S15" s="1"/>
  <c r="J14"/>
  <c r="S14" s="1"/>
  <c r="J13"/>
  <c r="S13" s="1"/>
  <c r="J12"/>
  <c r="S12" s="1"/>
  <c r="J11"/>
  <c r="S11" s="1"/>
  <c r="J10"/>
  <c r="S10" s="1"/>
  <c r="J9"/>
  <c r="S9" s="1"/>
  <c r="J7"/>
  <c r="S7" s="1"/>
  <c r="S6"/>
  <c r="A5" i="3"/>
  <c r="A1" i="8"/>
  <c r="M453" l="1"/>
  <c r="M452"/>
  <c r="M451"/>
  <c r="M450"/>
  <c r="M449"/>
  <c r="M448"/>
  <c r="M447"/>
  <c r="M446"/>
  <c r="M445"/>
  <c r="M444"/>
  <c r="M443"/>
  <c r="M442"/>
  <c r="M441"/>
  <c r="M440"/>
  <c r="M439"/>
  <c r="M438"/>
  <c r="N453"/>
  <c r="N452"/>
  <c r="N451"/>
  <c r="N450"/>
  <c r="N449"/>
  <c r="N448"/>
  <c r="N447"/>
  <c r="N446"/>
  <c r="N445"/>
  <c r="N444"/>
  <c r="N443"/>
  <c r="N442"/>
  <c r="N441"/>
  <c r="N440"/>
  <c r="N439"/>
  <c r="N438"/>
  <c r="M437"/>
  <c r="M436"/>
  <c r="M435"/>
  <c r="M434"/>
  <c r="M433"/>
  <c r="M432"/>
  <c r="M431"/>
  <c r="M430"/>
  <c r="M429"/>
  <c r="M428"/>
  <c r="M427"/>
  <c r="M426"/>
  <c r="M425"/>
  <c r="N437"/>
  <c r="N436"/>
  <c r="N435"/>
  <c r="N434"/>
  <c r="N433"/>
  <c r="N432"/>
  <c r="N431"/>
  <c r="N430"/>
  <c r="N429"/>
  <c r="N428"/>
  <c r="N427"/>
  <c r="N426"/>
  <c r="N425"/>
  <c r="M424"/>
  <c r="M423"/>
  <c r="M422"/>
  <c r="M421"/>
  <c r="M420"/>
  <c r="M419"/>
  <c r="M417"/>
  <c r="M416"/>
  <c r="M415"/>
  <c r="M413"/>
  <c r="M412"/>
  <c r="M410"/>
  <c r="N424"/>
  <c r="N423"/>
  <c r="N422"/>
  <c r="N421"/>
  <c r="N420"/>
  <c r="N419"/>
  <c r="N417"/>
  <c r="N416"/>
  <c r="N415"/>
  <c r="N413"/>
  <c r="N412"/>
  <c r="N410"/>
  <c r="M406"/>
  <c r="M405"/>
  <c r="M404"/>
  <c r="M403"/>
  <c r="M402"/>
  <c r="M401"/>
  <c r="M398"/>
  <c r="M397"/>
  <c r="M396"/>
  <c r="M394"/>
  <c r="M391"/>
  <c r="N406"/>
  <c r="N405"/>
  <c r="N404"/>
  <c r="N403"/>
  <c r="N402"/>
  <c r="N401"/>
  <c r="N398"/>
  <c r="N397"/>
  <c r="N396"/>
  <c r="N394"/>
  <c r="N391"/>
  <c r="M390"/>
  <c r="M388"/>
  <c r="M387"/>
  <c r="M386"/>
  <c r="M384"/>
  <c r="M375"/>
  <c r="M373"/>
  <c r="M362"/>
  <c r="N390"/>
  <c r="N388"/>
  <c r="N387"/>
  <c r="N386"/>
  <c r="N384"/>
  <c r="N375"/>
  <c r="N373"/>
  <c r="N362"/>
  <c r="M358"/>
  <c r="M354"/>
  <c r="M351"/>
  <c r="M350"/>
  <c r="M349"/>
  <c r="N358"/>
  <c r="N354"/>
  <c r="N351"/>
  <c r="N350"/>
  <c r="N349"/>
  <c r="N338"/>
  <c r="N336"/>
  <c r="N333"/>
  <c r="M338"/>
  <c r="M336"/>
  <c r="M333"/>
  <c r="N322"/>
  <c r="M322"/>
  <c r="M303"/>
  <c r="M299"/>
  <c r="M285"/>
  <c r="N303"/>
  <c r="N285"/>
  <c r="N299"/>
  <c r="N242"/>
  <c r="N186"/>
  <c r="N117"/>
  <c r="N110"/>
  <c r="M242"/>
  <c r="M186"/>
  <c r="M117"/>
  <c r="M110"/>
  <c r="N16" i="3"/>
  <c r="N15"/>
  <c r="O15" s="1"/>
  <c r="I4" i="2" l="1"/>
  <c r="N27" i="3" l="1"/>
  <c r="O27" s="1"/>
  <c r="I65" l="1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 l="1"/>
  <c r="I44"/>
  <c r="I43"/>
  <c r="I42"/>
  <c r="I41" l="1"/>
  <c r="I40"/>
  <c r="I39"/>
  <c r="I38"/>
  <c r="I37"/>
  <c r="I36"/>
  <c r="I35" l="1"/>
  <c r="I34"/>
  <c r="I33"/>
  <c r="I32"/>
  <c r="I31" l="1"/>
  <c r="I30"/>
  <c r="I29"/>
  <c r="I28"/>
  <c r="I27"/>
  <c r="I9" l="1"/>
  <c r="G207" i="1"/>
  <c r="J30" i="3" l="1"/>
  <c r="J29"/>
  <c r="J31"/>
  <c r="J28"/>
  <c r="J27"/>
  <c r="J7"/>
  <c r="J10"/>
  <c r="J14"/>
  <c r="J20"/>
  <c r="J12"/>
  <c r="J15"/>
  <c r="J17"/>
  <c r="J22"/>
  <c r="J26"/>
  <c r="J5"/>
  <c r="J9"/>
  <c r="J11"/>
  <c r="J13"/>
  <c r="J18"/>
  <c r="J23"/>
  <c r="J4"/>
  <c r="J6"/>
  <c r="J8"/>
  <c r="J16"/>
  <c r="J19"/>
  <c r="J21"/>
  <c r="J24"/>
  <c r="J25"/>
  <c r="I24" l="1"/>
  <c r="I23"/>
  <c r="I22"/>
  <c r="I21"/>
  <c r="I26"/>
  <c r="I25"/>
  <c r="O16" l="1"/>
  <c r="O18" l="1"/>
  <c r="I20" l="1"/>
  <c r="I19"/>
  <c r="I17"/>
  <c r="I16"/>
  <c r="I15"/>
  <c r="I14"/>
  <c r="I13"/>
  <c r="G208" i="1" l="1"/>
  <c r="N7" i="3" l="1"/>
  <c r="P7"/>
  <c r="F5" i="6"/>
  <c r="J5" s="1"/>
  <c r="J6"/>
  <c r="J7"/>
  <c r="J8"/>
  <c r="J9"/>
  <c r="J10"/>
  <c r="J11"/>
  <c r="J12"/>
  <c r="J13"/>
  <c r="J14"/>
  <c r="M4"/>
  <c r="L4"/>
  <c r="J4"/>
  <c r="I5" i="3" l="1"/>
  <c r="I4" l="1"/>
  <c r="G85" i="1" l="1"/>
  <c r="F65" l="1"/>
  <c r="G65"/>
  <c r="G86" s="1"/>
</calcChain>
</file>

<file path=xl/comments1.xml><?xml version="1.0" encoding="utf-8"?>
<comments xmlns="http://schemas.openxmlformats.org/spreadsheetml/2006/main">
  <authors>
    <author>ADMIN</author>
  </authors>
  <commentList>
    <comment ref="R93" authorId="0">
      <text>
        <r>
          <rPr>
            <sz val="9"/>
            <color indexed="81"/>
            <rFont val="Tahoma"/>
            <family val="2"/>
          </rPr>
          <t xml:space="preserve">Sumair 4200 cash 
10-11-2025 
</t>
        </r>
      </text>
    </comment>
    <comment ref="Q118" authorId="0">
      <text>
        <r>
          <rPr>
            <sz val="9"/>
            <color indexed="81"/>
            <rFont val="Tahoma"/>
            <family val="2"/>
          </rPr>
          <t xml:space="preserve">4150 cash 10-11-2025
</t>
        </r>
      </text>
    </comment>
    <comment ref="Q151" authorId="0">
      <text>
        <r>
          <rPr>
            <sz val="9"/>
            <color indexed="81"/>
            <rFont val="Tahoma"/>
            <family val="2"/>
          </rPr>
          <t xml:space="preserve">UBL-86824267(1500007-11-07-25 Adjust sep
</t>
        </r>
      </text>
    </comment>
    <comment ref="R151" authorId="0">
      <text>
        <r>
          <rPr>
            <sz val="9"/>
            <color indexed="81"/>
            <rFont val="Tahoma"/>
            <family val="2"/>
          </rPr>
          <t xml:space="preserve">Adjustment sep
</t>
        </r>
      </text>
    </comment>
    <comment ref="Q168" authorId="0">
      <text>
        <r>
          <rPr>
            <sz val="9"/>
            <color indexed="81"/>
            <rFont val="Tahoma"/>
            <family val="2"/>
          </rPr>
          <t xml:space="preserve">BAH-10302767(47000)
30-10-25
</t>
        </r>
      </text>
    </comment>
    <comment ref="P239" authorId="0">
      <text>
        <r>
          <rPr>
            <sz val="9"/>
            <color indexed="81"/>
            <rFont val="Tahoma"/>
            <family val="2"/>
          </rPr>
          <t xml:space="preserve">BAH-10083209(105000)
</t>
        </r>
      </text>
    </comment>
    <comment ref="Q241" authorId="0">
      <text>
        <r>
          <rPr>
            <sz val="9"/>
            <color indexed="81"/>
            <rFont val="Tahoma"/>
            <family val="2"/>
          </rPr>
          <t xml:space="preserve">10,000 cash 5-11-25
</t>
        </r>
      </text>
    </comment>
    <comment ref="P243" authorId="0">
      <text>
        <r>
          <rPr>
            <sz val="9"/>
            <color indexed="81"/>
            <rFont val="Tahoma"/>
            <family val="2"/>
          </rPr>
          <t xml:space="preserve">BML-97662930(24930)
12-11-2025
</t>
        </r>
      </text>
    </comment>
    <comment ref="P248" authorId="0">
      <text>
        <r>
          <rPr>
            <sz val="9"/>
            <color indexed="81"/>
            <rFont val="Tahoma"/>
            <family val="2"/>
          </rPr>
          <t xml:space="preserve">HM-186724307(47445)
</t>
        </r>
      </text>
    </comment>
    <comment ref="P249" authorId="0">
      <text>
        <r>
          <rPr>
            <sz val="9"/>
            <color indexed="81"/>
            <rFont val="Tahoma"/>
            <family val="2"/>
          </rPr>
          <t xml:space="preserve">BAH-10303145(80480)
Excess 305
</t>
        </r>
      </text>
    </comment>
    <comment ref="P250" authorId="0">
      <text>
        <r>
          <rPr>
            <sz val="9"/>
            <color indexed="81"/>
            <rFont val="Tahoma"/>
            <family val="2"/>
          </rPr>
          <t xml:space="preserve">BML-97671247(32000)
Askaribank-00187196(74000)
total-106,000
31-10-25
</t>
        </r>
      </text>
    </comment>
    <comment ref="Q250" authorId="0">
      <text>
        <r>
          <rPr>
            <sz val="9"/>
            <color indexed="81"/>
            <rFont val="Tahoma"/>
            <family val="2"/>
          </rPr>
          <t xml:space="preserve">online 13290
11-11-2025
</t>
        </r>
      </text>
    </comment>
    <comment ref="Q251" authorId="0">
      <text>
        <r>
          <rPr>
            <sz val="9"/>
            <color indexed="81"/>
            <rFont val="Tahoma"/>
            <family val="2"/>
          </rPr>
          <t xml:space="preserve">04-11-2025 cash
</t>
        </r>
      </text>
    </comment>
    <comment ref="R251" authorId="0">
      <text>
        <r>
          <rPr>
            <sz val="9"/>
            <color indexed="81"/>
            <rFont val="Tahoma"/>
            <family val="2"/>
          </rPr>
          <t>06-11-2025 cash 20000
13-11-2025 
Online 20,000
14-11-25
Cash 26,100</t>
        </r>
      </text>
    </comment>
    <comment ref="P252" authorId="0">
      <text>
        <r>
          <rPr>
            <sz val="9"/>
            <color indexed="81"/>
            <rFont val="Tahoma"/>
            <family val="2"/>
          </rPr>
          <t xml:space="preserve">10000 cash 
30-10-25
</t>
        </r>
      </text>
    </comment>
    <comment ref="Q255" authorId="0">
      <text>
        <r>
          <rPr>
            <sz val="9"/>
            <color indexed="81"/>
            <rFont val="Tahoma"/>
            <family val="2"/>
          </rPr>
          <t xml:space="preserve">06-11-25 cash 74950
</t>
        </r>
      </text>
    </comment>
    <comment ref="P259" authorId="0">
      <text>
        <r>
          <rPr>
            <sz val="9"/>
            <color indexed="81"/>
            <rFont val="Tahoma"/>
            <family val="2"/>
          </rPr>
          <t xml:space="preserve">online 4710
12-11-25
</t>
        </r>
      </text>
    </comment>
    <comment ref="Q259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cash 870
12-11-25</t>
        </r>
      </text>
    </comment>
    <comment ref="R259" authorId="0">
      <text>
        <r>
          <rPr>
            <sz val="9"/>
            <color indexed="81"/>
            <rFont val="Tahoma"/>
            <family val="2"/>
          </rPr>
          <t>Adjustment Sep
5689
07-11-25</t>
        </r>
      </text>
    </comment>
    <comment ref="P260" authorId="0">
      <text>
        <r>
          <rPr>
            <sz val="9"/>
            <color indexed="81"/>
            <rFont val="Tahoma"/>
            <family val="2"/>
          </rPr>
          <t xml:space="preserve">BAH-10887595(43602)
1-11-25
</t>
        </r>
      </text>
    </comment>
    <comment ref="P273" authorId="0">
      <text>
        <r>
          <rPr>
            <sz val="9"/>
            <color indexed="81"/>
            <rFont val="Tahoma"/>
            <family val="2"/>
          </rPr>
          <t xml:space="preserve">HM-186724308(28529)
</t>
        </r>
      </text>
    </comment>
    <comment ref="P275" authorId="0">
      <text>
        <r>
          <rPr>
            <sz val="9"/>
            <color indexed="81"/>
            <rFont val="Tahoma"/>
            <family val="2"/>
          </rPr>
          <t xml:space="preserve">BAH-10303143(56180)
</t>
        </r>
      </text>
    </comment>
    <comment ref="P276" authorId="0">
      <text>
        <r>
          <rPr>
            <sz val="9"/>
            <color indexed="81"/>
            <rFont val="Tahoma"/>
            <family val="2"/>
          </rPr>
          <t>BML-97671256(32380)
BML-97671255(30000)
BML-97671256(30000)
06-11-25</t>
        </r>
      </text>
    </comment>
    <comment ref="Q276" authorId="0">
      <text>
        <r>
          <rPr>
            <sz val="9"/>
            <color indexed="81"/>
            <rFont val="Tahoma"/>
            <family val="2"/>
          </rPr>
          <t xml:space="preserve">BAH-10302773 (30,000)
BAH-10302775 (20,000)
BML-97671259 (26970)
BML-97671258 (28,000)
</t>
        </r>
      </text>
    </comment>
    <comment ref="R276" authorId="0">
      <text>
        <r>
          <rPr>
            <sz val="9"/>
            <color indexed="81"/>
            <rFont val="Tahoma"/>
            <family val="2"/>
          </rPr>
          <t>BML-97671261(32000)
BML-97671262(32000)
BML-97671263(32000)
20-11-2025
total 96000-75512=(20788 this amount included Bill no 5330)</t>
        </r>
      </text>
    </comment>
    <comment ref="R283" authorId="0">
      <text>
        <r>
          <rPr>
            <sz val="9"/>
            <color indexed="81"/>
            <rFont val="Tahoma"/>
            <family val="2"/>
          </rPr>
          <t>BAH-10968585(138610)
HM-186469441(50000)
MB-D56746087(130000)
FB-CA0000456(40000)
Total-358610
4-11-25
6-11-25 cash 39750
BAH-11406797(14500)
UBL-78209052(25500)
07-11-2025</t>
        </r>
      </text>
    </comment>
    <comment ref="Q293" authorId="0">
      <text>
        <r>
          <rPr>
            <sz val="9"/>
            <color indexed="81"/>
            <rFont val="Tahoma"/>
            <family val="2"/>
          </rPr>
          <t xml:space="preserve">HBL-0000191(36600)
</t>
        </r>
      </text>
    </comment>
    <comment ref="P29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12-11-25</t>
        </r>
      </text>
    </comment>
    <comment ref="Q295" authorId="0">
      <text>
        <r>
          <rPr>
            <sz val="9"/>
            <color indexed="81"/>
            <rFont val="Tahoma"/>
            <family val="2"/>
          </rPr>
          <t xml:space="preserve">14-11-25
Cash-100,000
</t>
        </r>
      </text>
    </comment>
    <comment ref="R295" authorId="0">
      <text>
        <r>
          <rPr>
            <sz val="9"/>
            <color indexed="81"/>
            <rFont val="Tahoma"/>
            <family val="2"/>
          </rPr>
          <t xml:space="preserve">17-11-2025 cash
</t>
        </r>
      </text>
    </comment>
    <comment ref="P296" authorId="0">
      <text>
        <r>
          <rPr>
            <sz val="9"/>
            <color indexed="81"/>
            <rFont val="Tahoma"/>
            <family val="2"/>
          </rPr>
          <t xml:space="preserve">BAH-10887594(43602)
1-11-25
</t>
        </r>
      </text>
    </comment>
    <comment ref="P30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cash 7-11-25</t>
        </r>
      </text>
    </comment>
    <comment ref="Q30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08-11-25</t>
        </r>
      </text>
    </comment>
    <comment ref="Q312" authorId="0">
      <text>
        <r>
          <rPr>
            <sz val="9"/>
            <color indexed="81"/>
            <rFont val="Tahoma"/>
            <family val="2"/>
          </rPr>
          <t xml:space="preserve">TAX Adjustment 2102
</t>
        </r>
      </text>
    </comment>
    <comment ref="P315" authorId="0">
      <text>
        <r>
          <rPr>
            <sz val="9"/>
            <color indexed="81"/>
            <rFont val="Tahoma"/>
            <family val="2"/>
          </rPr>
          <t xml:space="preserve">32000 cash 5-11-25
</t>
        </r>
      </text>
    </comment>
    <comment ref="P316" authorId="0">
      <text>
        <r>
          <rPr>
            <sz val="9"/>
            <color indexed="81"/>
            <rFont val="Tahoma"/>
            <family val="2"/>
          </rPr>
          <t xml:space="preserve">29600 cash
12-11-25
</t>
        </r>
      </text>
    </comment>
    <comment ref="P317" authorId="0">
      <text>
        <r>
          <rPr>
            <sz val="9"/>
            <color indexed="81"/>
            <rFont val="Tahoma"/>
            <family val="2"/>
          </rPr>
          <t xml:space="preserve">BAH-10305252(15000)
</t>
        </r>
      </text>
    </comment>
    <comment ref="P320" authorId="0">
      <text>
        <r>
          <rPr>
            <sz val="9"/>
            <color indexed="81"/>
            <rFont val="Tahoma"/>
            <family val="2"/>
          </rPr>
          <t xml:space="preserve">BAF-50658008(6011)
05-11-2025
</t>
        </r>
      </text>
    </comment>
    <comment ref="P321" authorId="0">
      <text>
        <r>
          <rPr>
            <sz val="9"/>
            <color indexed="81"/>
            <rFont val="Tahoma"/>
            <family val="2"/>
          </rPr>
          <t xml:space="preserve">000451(7590)
</t>
        </r>
      </text>
    </comment>
    <comment ref="P322" authorId="0">
      <text>
        <r>
          <rPr>
            <sz val="9"/>
            <color indexed="81"/>
            <rFont val="Tahoma"/>
            <family val="2"/>
          </rPr>
          <t>BML-97671263(32000)
BML-97671264(32250)
20-11-2025</t>
        </r>
      </text>
    </comment>
    <comment ref="P325" authorId="0">
      <text>
        <r>
          <rPr>
            <sz val="9"/>
            <color indexed="81"/>
            <rFont val="Tahoma"/>
            <family val="2"/>
          </rPr>
          <t xml:space="preserve">Amount replace with cheques
</t>
        </r>
      </text>
    </comment>
    <comment ref="P326" authorId="0">
      <text>
        <r>
          <rPr>
            <sz val="9"/>
            <color indexed="81"/>
            <rFont val="Tahoma"/>
            <family val="2"/>
          </rPr>
          <t xml:space="preserve">BAH-10303151 (100,000)
BAH-10303152 (73000)
13-11-25
</t>
        </r>
      </text>
    </comment>
    <comment ref="P327" authorId="0">
      <text>
        <r>
          <rPr>
            <sz val="9"/>
            <color indexed="81"/>
            <rFont val="Tahoma"/>
            <family val="2"/>
          </rPr>
          <t xml:space="preserve">12-11-25
Cash-200,000
</t>
        </r>
      </text>
    </comment>
    <comment ref="P329" authorId="0">
      <text>
        <r>
          <rPr>
            <sz val="9"/>
            <color indexed="81"/>
            <rFont val="Tahoma"/>
            <family val="2"/>
          </rPr>
          <t xml:space="preserve">12-11-2025
Cash 53,000
</t>
        </r>
      </text>
    </comment>
    <comment ref="P332" authorId="0">
      <text>
        <r>
          <rPr>
            <sz val="9"/>
            <color indexed="81"/>
            <rFont val="Tahoma"/>
            <family val="2"/>
          </rPr>
          <t xml:space="preserve">BAH-10887599(35629)
08-11-25
</t>
        </r>
      </text>
    </comment>
    <comment ref="P336" authorId="0">
      <text>
        <r>
          <rPr>
            <sz val="9"/>
            <color indexed="81"/>
            <rFont val="Tahoma"/>
            <family val="2"/>
          </rPr>
          <t xml:space="preserve">13-11-2025 cash
10000
</t>
        </r>
      </text>
    </comment>
    <comment ref="Q336" authorId="0">
      <text>
        <r>
          <rPr>
            <sz val="9"/>
            <color indexed="81"/>
            <rFont val="Tahoma"/>
            <charset val="1"/>
          </rPr>
          <t xml:space="preserve">15000 cash 
26-11-2025
</t>
        </r>
      </text>
    </comment>
    <comment ref="P341" authorId="0">
      <text>
        <r>
          <rPr>
            <sz val="9"/>
            <color indexed="81"/>
            <rFont val="Tahoma"/>
            <family val="2"/>
          </rPr>
          <t xml:space="preserve">BAH-10303151 (100,000)
BAH-10303152 (73000)
13-11-25
</t>
        </r>
      </text>
    </comment>
    <comment ref="P342" authorId="0">
      <text>
        <r>
          <rPr>
            <sz val="9"/>
            <color indexed="81"/>
            <rFont val="Tahoma"/>
            <family val="2"/>
          </rPr>
          <t xml:space="preserve">BAH-10303512 (131329)17-11-2025
</t>
        </r>
      </text>
    </comment>
    <comment ref="P344" authorId="0">
      <text>
        <r>
          <rPr>
            <sz val="9"/>
            <color indexed="81"/>
            <rFont val="Tahoma"/>
            <family val="2"/>
          </rPr>
          <t>MH-186814017
10,577</t>
        </r>
      </text>
    </comment>
    <comment ref="P351" authorId="0">
      <text>
        <r>
          <rPr>
            <sz val="9"/>
            <color indexed="81"/>
            <rFont val="Tahoma"/>
            <family val="2"/>
          </rPr>
          <t xml:space="preserve">cash 100,000
20-11-2025
</t>
        </r>
      </text>
    </comment>
    <comment ref="Q351" authorId="0">
      <text>
        <r>
          <rPr>
            <sz val="9"/>
            <color indexed="81"/>
            <rFont val="Tahoma"/>
            <family val="2"/>
          </rPr>
          <t xml:space="preserve">cash
22-11-2025
</t>
        </r>
      </text>
    </comment>
    <comment ref="R351" authorId="0">
      <text>
        <r>
          <rPr>
            <b/>
            <sz val="9"/>
            <color indexed="81"/>
            <rFont val="Tahoma"/>
            <family val="2"/>
          </rPr>
          <t>50,000 cash
100,000 online 
25-11-25</t>
        </r>
      </text>
    </comment>
    <comment ref="Q356" authorId="0">
      <text>
        <r>
          <rPr>
            <sz val="9"/>
            <color indexed="81"/>
            <rFont val="Tahoma"/>
            <family val="2"/>
          </rPr>
          <t xml:space="preserve">20-11-2025 cash
</t>
        </r>
      </text>
    </comment>
    <comment ref="P360" authorId="0">
      <text>
        <r>
          <rPr>
            <sz val="9"/>
            <color indexed="81"/>
            <rFont val="Tahoma"/>
            <family val="2"/>
          </rPr>
          <t xml:space="preserve">HBL-0000462 (7251)
</t>
        </r>
      </text>
    </comment>
    <comment ref="P361" authorId="0">
      <text>
        <r>
          <rPr>
            <sz val="9"/>
            <color indexed="81"/>
            <rFont val="Tahoma"/>
            <charset val="1"/>
          </rPr>
          <t xml:space="preserve">cheque BAH-11649904
</t>
        </r>
      </text>
    </comment>
    <comment ref="P363" authorId="0">
      <text>
        <r>
          <rPr>
            <sz val="9"/>
            <color indexed="81"/>
            <rFont val="Tahoma"/>
            <family val="2"/>
          </rPr>
          <t xml:space="preserve">MB-A31003118
3394
</t>
        </r>
      </text>
    </comment>
    <comment ref="Q365" authorId="0">
      <text>
        <r>
          <rPr>
            <b/>
            <sz val="9"/>
            <color indexed="81"/>
            <rFont val="Tahoma"/>
            <family val="2"/>
          </rPr>
          <t>Add 1029
bill no 6210
20-11-2025</t>
        </r>
      </text>
    </comment>
    <comment ref="H367" authorId="0">
      <text>
        <r>
          <rPr>
            <sz val="9"/>
            <color indexed="81"/>
            <rFont val="Tahoma"/>
            <family val="2"/>
          </rPr>
          <t xml:space="preserve">GT will pay this CD amount
</t>
        </r>
      </text>
    </comment>
    <comment ref="P368" authorId="0">
      <text>
        <r>
          <rPr>
            <sz val="9"/>
            <color indexed="81"/>
            <rFont val="Tahoma"/>
            <charset val="1"/>
          </rPr>
          <t xml:space="preserve">BAH-10303155
100,000
27-11-25
Ad bill no 6320
</t>
        </r>
      </text>
    </comment>
    <comment ref="P370" authorId="0">
      <text>
        <r>
          <rPr>
            <sz val="9"/>
            <color indexed="81"/>
            <rFont val="Tahoma"/>
            <family val="2"/>
          </rPr>
          <t xml:space="preserve">HM-186724319(94940)
</t>
        </r>
      </text>
    </comment>
    <comment ref="Q372" authorId="0">
      <text>
        <r>
          <rPr>
            <sz val="9"/>
            <color indexed="81"/>
            <rFont val="Tahoma"/>
            <family val="2"/>
          </rPr>
          <t xml:space="preserve">BAH-10305263(10,000)
</t>
        </r>
      </text>
    </comment>
    <comment ref="P376" authorId="0">
      <text>
        <r>
          <rPr>
            <sz val="9"/>
            <color indexed="81"/>
            <rFont val="Tahoma"/>
            <family val="2"/>
          </rPr>
          <t>BAH-1030508(185,640)
BAH-10303490(176,700)
HM-186469446(40,000)
HM-186469445(50000)
MB-D65205053(177,600)
cash 2800
15-11-2025</t>
        </r>
      </text>
    </comment>
    <comment ref="Q376" authorId="0">
      <text>
        <r>
          <rPr>
            <sz val="9"/>
            <color indexed="81"/>
            <rFont val="Tahoma"/>
            <family val="2"/>
          </rPr>
          <t xml:space="preserve">cash 338,740
Online 100,000
total=438,740
22-11-2025
</t>
        </r>
      </text>
    </comment>
    <comment ref="P380" authorId="0">
      <text>
        <r>
          <rPr>
            <sz val="9"/>
            <color indexed="81"/>
            <rFont val="Tahoma"/>
            <family val="2"/>
          </rPr>
          <t xml:space="preserve">MB-A19589907 (10440)
</t>
        </r>
      </text>
    </comment>
    <comment ref="P389" authorId="0">
      <text>
        <r>
          <rPr>
            <sz val="9"/>
            <color indexed="81"/>
            <rFont val="Tahoma"/>
            <charset val="1"/>
          </rPr>
          <t xml:space="preserve">cheque 129700
BAH-10303156
27-11-25
</t>
        </r>
      </text>
    </comment>
    <comment ref="P392" authorId="0">
      <text>
        <r>
          <rPr>
            <sz val="9"/>
            <color indexed="81"/>
            <rFont val="Tahoma"/>
            <charset val="1"/>
          </rPr>
          <t xml:space="preserve">BAH-10306700(88000)
</t>
        </r>
      </text>
    </comment>
    <comment ref="P399" authorId="0">
      <text>
        <r>
          <rPr>
            <b/>
            <sz val="9"/>
            <color indexed="81"/>
            <rFont val="Tahoma"/>
            <family val="2"/>
          </rPr>
          <t>BAH-10893315(67020)
22-11-25</t>
        </r>
      </text>
    </comment>
    <comment ref="P401" authorId="0">
      <text>
        <r>
          <rPr>
            <sz val="9"/>
            <color indexed="81"/>
            <rFont val="Tahoma"/>
            <charset val="1"/>
          </rPr>
          <t xml:space="preserve">cash 27-11-25
275890
</t>
        </r>
      </text>
    </comment>
    <comment ref="Q401" authorId="0">
      <text>
        <r>
          <rPr>
            <sz val="9"/>
            <color indexed="81"/>
            <rFont val="Tahoma"/>
            <family val="2"/>
          </rPr>
          <t xml:space="preserve">Cash 200,000
28-11-2025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G377" authorId="0">
      <text>
        <r>
          <rPr>
            <sz val="9"/>
            <color indexed="81"/>
            <rFont val="Tahoma"/>
            <family val="2"/>
          </rPr>
          <t xml:space="preserve">Oct Adjust 37605
15-11-2025
</t>
        </r>
      </text>
    </comment>
    <comment ref="G378" authorId="0">
      <text>
        <r>
          <rPr>
            <sz val="9"/>
            <color indexed="81"/>
            <rFont val="Tahoma"/>
            <family val="2"/>
          </rPr>
          <t xml:space="preserve">GT will pay this CD amount
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F4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3:30
</t>
        </r>
      </text>
    </comment>
    <comment ref="I4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1:05
</t>
        </r>
      </text>
    </comment>
    <comment ref="J41" authorId="0">
      <text>
        <r>
          <rPr>
            <sz val="9"/>
            <color indexed="81"/>
            <rFont val="Tahoma"/>
            <family val="2"/>
          </rPr>
          <t xml:space="preserve">12.25 late
</t>
        </r>
      </text>
    </comment>
    <comment ref="M41" authorId="0">
      <text>
        <r>
          <rPr>
            <sz val="9"/>
            <color indexed="81"/>
            <rFont val="Tahoma"/>
            <family val="2"/>
          </rPr>
          <t xml:space="preserve">Late 11.00
</t>
        </r>
      </text>
    </comment>
    <comment ref="O41" authorId="0">
      <text>
        <r>
          <rPr>
            <sz val="9"/>
            <color indexed="81"/>
            <rFont val="Tahoma"/>
            <family val="2"/>
          </rPr>
          <t>Late
 11.10</t>
        </r>
      </text>
    </comment>
    <comment ref="S4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.10:30
</t>
        </r>
      </text>
    </comment>
    <comment ref="T4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10:05</t>
        </r>
      </text>
    </comment>
    <comment ref="Z41" authorId="0">
      <text>
        <r>
          <rPr>
            <sz val="9"/>
            <color indexed="81"/>
            <rFont val="Tahoma"/>
            <family val="2"/>
          </rPr>
          <t xml:space="preserve">11.30
</t>
        </r>
      </text>
    </comment>
    <comment ref="C49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
</t>
        </r>
      </text>
    </comment>
    <comment ref="J49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11:00
</t>
        </r>
      </text>
    </comment>
    <comment ref="M49" authorId="0">
      <text>
        <r>
          <rPr>
            <sz val="9"/>
            <color indexed="81"/>
            <rFont val="Tahoma"/>
            <family val="2"/>
          </rPr>
          <t xml:space="preserve">Late 10.05
</t>
        </r>
      </text>
    </comment>
    <comment ref="O49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10:00</t>
        </r>
      </text>
    </comment>
    <comment ref="P49" authorId="0">
      <text>
        <r>
          <rPr>
            <sz val="9"/>
            <color indexed="81"/>
            <rFont val="Tahoma"/>
            <family val="2"/>
          </rPr>
          <t xml:space="preserve">9.50 Late
</t>
        </r>
      </text>
    </comment>
    <comment ref="Q49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10:00</t>
        </r>
      </text>
    </comment>
    <comment ref="T49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11:00</t>
        </r>
      </text>
    </comment>
    <comment ref="W49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</t>
        </r>
      </text>
    </comment>
    <comment ref="P50" authorId="0">
      <text>
        <r>
          <rPr>
            <sz val="9"/>
            <color indexed="81"/>
            <rFont val="Tahoma"/>
            <family val="2"/>
          </rPr>
          <t xml:space="preserve">Late 9.45
</t>
        </r>
      </text>
    </comment>
    <comment ref="Q50" authorId="0">
      <text>
        <r>
          <rPr>
            <sz val="9"/>
            <color indexed="81"/>
            <rFont val="Tahoma"/>
            <family val="2"/>
          </rPr>
          <t xml:space="preserve">10.15 Late
</t>
        </r>
      </text>
    </comment>
    <comment ref="C5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</t>
        </r>
      </text>
    </comment>
    <comment ref="E5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10:10</t>
        </r>
      </text>
    </comment>
    <comment ref="I5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10:05
</t>
        </r>
      </text>
    </comment>
    <comment ref="J5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10:05
</t>
        </r>
      </text>
    </comment>
    <comment ref="L51" authorId="0">
      <text>
        <r>
          <rPr>
            <sz val="9"/>
            <color indexed="81"/>
            <rFont val="Tahoma"/>
            <family val="2"/>
          </rPr>
          <t xml:space="preserve">11.00
</t>
        </r>
      </text>
    </comment>
    <comment ref="M51" authorId="0">
      <text>
        <r>
          <rPr>
            <sz val="9"/>
            <color indexed="81"/>
            <rFont val="Tahoma"/>
            <family val="2"/>
          </rPr>
          <t xml:space="preserve">Late 10.06
</t>
        </r>
      </text>
    </comment>
    <comment ref="O5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10:15</t>
        </r>
      </text>
    </comment>
    <comment ref="P51" authorId="0">
      <text>
        <r>
          <rPr>
            <sz val="9"/>
            <color indexed="81"/>
            <rFont val="Tahoma"/>
            <family val="2"/>
          </rPr>
          <t xml:space="preserve">10.05 Late
</t>
        </r>
      </text>
    </comment>
    <comment ref="Q5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10:05</t>
        </r>
      </text>
    </comment>
    <comment ref="S5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
LATE 
10:30
</t>
        </r>
      </text>
    </comment>
    <comment ref="U5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10:30</t>
        </r>
      </text>
    </comment>
    <comment ref="V51" authorId="0">
      <text>
        <r>
          <rPr>
            <sz val="9"/>
            <color indexed="81"/>
            <rFont val="Tahoma"/>
            <family val="2"/>
          </rPr>
          <t xml:space="preserve">10.20
</t>
        </r>
      </text>
    </comment>
    <comment ref="W5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</t>
        </r>
      </text>
    </comment>
    <comment ref="Z51" authorId="0">
      <text>
        <r>
          <rPr>
            <b/>
            <sz val="9"/>
            <color indexed="81"/>
            <rFont val="Tahoma"/>
            <family val="2"/>
          </rPr>
          <t>10.30</t>
        </r>
      </text>
    </comment>
    <comment ref="C5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
10:10</t>
        </r>
      </text>
    </comment>
    <comment ref="M52" authorId="0">
      <text>
        <r>
          <rPr>
            <sz val="9"/>
            <color indexed="81"/>
            <rFont val="Tahoma"/>
            <family val="2"/>
          </rPr>
          <t xml:space="preserve">Late 10.01
</t>
        </r>
      </text>
    </comment>
    <comment ref="O5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10:00</t>
        </r>
      </text>
    </comment>
    <comment ref="P52" authorId="0">
      <text>
        <r>
          <rPr>
            <sz val="9"/>
            <color indexed="81"/>
            <rFont val="Tahoma"/>
            <family val="2"/>
          </rPr>
          <t xml:space="preserve">9.45 Late
</t>
        </r>
      </text>
    </comment>
    <comment ref="T5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10:10</t>
        </r>
      </text>
    </comment>
    <comment ref="U5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10:20</t>
        </r>
      </text>
    </comment>
    <comment ref="W5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</t>
        </r>
      </text>
    </comment>
    <comment ref="Z52" authorId="0">
      <text>
        <r>
          <rPr>
            <sz val="9"/>
            <color indexed="81"/>
            <rFont val="Tahoma"/>
            <family val="2"/>
          </rPr>
          <t xml:space="preserve">10.20
</t>
        </r>
      </text>
    </comment>
    <comment ref="C53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</t>
        </r>
      </text>
    </comment>
    <comment ref="E53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10:30</t>
        </r>
      </text>
    </comment>
    <comment ref="O53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10:00</t>
        </r>
      </text>
    </comment>
    <comment ref="P53" authorId="0">
      <text>
        <r>
          <rPr>
            <sz val="9"/>
            <color indexed="81"/>
            <rFont val="Tahoma"/>
            <family val="2"/>
          </rPr>
          <t xml:space="preserve">10.12 Late
</t>
        </r>
      </text>
    </comment>
    <comment ref="Q53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10:10</t>
        </r>
      </text>
    </comment>
    <comment ref="U53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10:30</t>
        </r>
      </text>
    </comment>
    <comment ref="W53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</t>
        </r>
      </text>
    </comment>
    <comment ref="C5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</t>
        </r>
      </text>
    </comment>
    <comment ref="I5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10.00  late</t>
        </r>
      </text>
    </comment>
    <comment ref="O5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10:00</t>
        </r>
      </text>
    </comment>
    <comment ref="P54" authorId="0">
      <text>
        <r>
          <rPr>
            <sz val="9"/>
            <color indexed="81"/>
            <rFont val="Tahoma"/>
            <family val="2"/>
          </rPr>
          <t xml:space="preserve">10.00 Late
</t>
        </r>
      </text>
    </comment>
    <comment ref="Q5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9:50</t>
        </r>
      </text>
    </comment>
    <comment ref="T5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10:05</t>
        </r>
      </text>
    </comment>
    <comment ref="U5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 10:10</t>
        </r>
      </text>
    </comment>
    <comment ref="W5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LATE</t>
        </r>
      </text>
    </comment>
    <comment ref="X54" authorId="0">
      <text>
        <r>
          <rPr>
            <sz val="9"/>
            <color indexed="81"/>
            <rFont val="Tahoma"/>
            <family val="2"/>
          </rPr>
          <t xml:space="preserve">Late 10.30
</t>
        </r>
      </text>
    </comment>
  </commentList>
</comments>
</file>

<file path=xl/sharedStrings.xml><?xml version="1.0" encoding="utf-8"?>
<sst xmlns="http://schemas.openxmlformats.org/spreadsheetml/2006/main" count="6349" uniqueCount="1566">
  <si>
    <t>Date</t>
  </si>
  <si>
    <t>Delivery no</t>
  </si>
  <si>
    <t>Amount</t>
  </si>
  <si>
    <t>3</t>
  </si>
  <si>
    <t>4</t>
  </si>
  <si>
    <t>Ctn</t>
  </si>
  <si>
    <t>Remarks</t>
  </si>
  <si>
    <t>Cheque no 147885607</t>
  </si>
  <si>
    <t>Net Bal</t>
  </si>
  <si>
    <t>Payment</t>
  </si>
  <si>
    <t>5</t>
  </si>
  <si>
    <t>6</t>
  </si>
  <si>
    <t>7</t>
  </si>
  <si>
    <t>8</t>
  </si>
  <si>
    <t>9</t>
  </si>
  <si>
    <t>10</t>
  </si>
  <si>
    <t>11</t>
  </si>
  <si>
    <t>12</t>
  </si>
  <si>
    <t>S.no</t>
  </si>
  <si>
    <t>Shop Name</t>
  </si>
  <si>
    <t>invoice #</t>
  </si>
  <si>
    <t>Sales men Name</t>
  </si>
  <si>
    <t>Cheque #</t>
  </si>
  <si>
    <t>Creadit Bill</t>
  </si>
  <si>
    <t>Due Date</t>
  </si>
  <si>
    <t>Credit Sheet</t>
  </si>
  <si>
    <t>Fahad</t>
  </si>
  <si>
    <t>Days</t>
  </si>
  <si>
    <t>Booker Name</t>
  </si>
  <si>
    <t>Sinan Conf</t>
  </si>
  <si>
    <t>Faheem Traders</t>
  </si>
  <si>
    <t>Asif</t>
  </si>
  <si>
    <t>Maroof</t>
  </si>
  <si>
    <t>Shaqoor</t>
  </si>
  <si>
    <t>Agha Conf</t>
  </si>
  <si>
    <t>Ismail Conf</t>
  </si>
  <si>
    <t>Shazad Conf</t>
  </si>
  <si>
    <t>Tawakal Conf</t>
  </si>
  <si>
    <t>Bal</t>
  </si>
  <si>
    <t>Tariq Brother</t>
  </si>
  <si>
    <t>0201</t>
  </si>
  <si>
    <t>Panjwani</t>
  </si>
  <si>
    <t>0161</t>
  </si>
  <si>
    <t>Zunaisha</t>
  </si>
  <si>
    <t>13</t>
  </si>
  <si>
    <t>14</t>
  </si>
  <si>
    <t>14/07/2025</t>
  </si>
  <si>
    <t>Zubaidh Conf/Ashraf</t>
  </si>
  <si>
    <t>Sajid</t>
  </si>
  <si>
    <t>Asad</t>
  </si>
  <si>
    <t>15</t>
  </si>
  <si>
    <t>15/07/2025</t>
  </si>
  <si>
    <t>16</t>
  </si>
  <si>
    <t>Cheque no 147885608</t>
  </si>
  <si>
    <t>17</t>
  </si>
  <si>
    <t>18</t>
  </si>
  <si>
    <t>Fayyaz</t>
  </si>
  <si>
    <t>Slip No</t>
  </si>
  <si>
    <t>19</t>
  </si>
  <si>
    <t>20</t>
  </si>
  <si>
    <t>16/07/2025</t>
  </si>
  <si>
    <t>Cheque no 147885609</t>
  </si>
  <si>
    <t>Cheque no 147885600</t>
  </si>
  <si>
    <t>Faizan</t>
  </si>
  <si>
    <t>Asger</t>
  </si>
  <si>
    <t>Midway Food</t>
  </si>
  <si>
    <t>17-07-25</t>
  </si>
  <si>
    <t>Scheme</t>
  </si>
  <si>
    <t>21</t>
  </si>
  <si>
    <t>22</t>
  </si>
  <si>
    <t>23</t>
  </si>
  <si>
    <t>24</t>
  </si>
  <si>
    <t>17/07/2025</t>
  </si>
  <si>
    <t>Bounce Panaelty</t>
  </si>
  <si>
    <t>Partial</t>
  </si>
  <si>
    <t>Recovery Date</t>
  </si>
  <si>
    <t>14-07-25</t>
  </si>
  <si>
    <t>18-07-25</t>
  </si>
  <si>
    <t>Shakoor</t>
  </si>
  <si>
    <t>29-07-25</t>
  </si>
  <si>
    <t>Cheque Detail</t>
  </si>
  <si>
    <t>Mashallah</t>
  </si>
  <si>
    <t>0301</t>
  </si>
  <si>
    <t>Cheque no 147885610</t>
  </si>
  <si>
    <t>Naimal Mart</t>
  </si>
  <si>
    <t>25-07-25</t>
  </si>
  <si>
    <t>22-07-25</t>
  </si>
  <si>
    <t>24-07-25</t>
  </si>
  <si>
    <t>30-07-25</t>
  </si>
  <si>
    <t>DepositDate</t>
  </si>
  <si>
    <t>Shahid conf</t>
  </si>
  <si>
    <t>2% 12241.92</t>
  </si>
  <si>
    <t>Distributer</t>
  </si>
  <si>
    <t>19/07/2025</t>
  </si>
  <si>
    <t>0481</t>
  </si>
  <si>
    <t>3%-- 18362.85</t>
  </si>
  <si>
    <t>Recived</t>
  </si>
  <si>
    <t>Cheque no 147885612</t>
  </si>
  <si>
    <t>21-07-25</t>
  </si>
  <si>
    <t>Cheque no 147885611</t>
  </si>
  <si>
    <t>25</t>
  </si>
  <si>
    <t>26</t>
  </si>
  <si>
    <t>27</t>
  </si>
  <si>
    <t>Star Conf</t>
  </si>
  <si>
    <t>0261</t>
  </si>
  <si>
    <t>28-07-25</t>
  </si>
  <si>
    <t>28</t>
  </si>
  <si>
    <t>21/07/2025</t>
  </si>
  <si>
    <t>Star conf</t>
  </si>
  <si>
    <t>Khan conf</t>
  </si>
  <si>
    <t>New hassan conf</t>
  </si>
  <si>
    <t>0581</t>
  </si>
  <si>
    <t>0531</t>
  </si>
  <si>
    <t>Cheque no 147885613</t>
  </si>
  <si>
    <t>29</t>
  </si>
  <si>
    <t>30</t>
  </si>
  <si>
    <t>22-07-2025</t>
  </si>
  <si>
    <t>31</t>
  </si>
  <si>
    <t>32</t>
  </si>
  <si>
    <t>Cheque no 147885614</t>
  </si>
  <si>
    <t>33</t>
  </si>
  <si>
    <t>34</t>
  </si>
  <si>
    <t>23-07-2025</t>
  </si>
  <si>
    <t>Cheque no 147885615</t>
  </si>
  <si>
    <t>35</t>
  </si>
  <si>
    <t>36</t>
  </si>
  <si>
    <t>24-07-2025</t>
  </si>
  <si>
    <t>2% Scheme</t>
  </si>
  <si>
    <t>Sumair</t>
  </si>
  <si>
    <t>Bill No</t>
  </si>
  <si>
    <t>CD</t>
  </si>
  <si>
    <t>DD</t>
  </si>
  <si>
    <t>Company Discount</t>
  </si>
  <si>
    <t>Distributio Discount</t>
  </si>
  <si>
    <t>CD: 3%</t>
  </si>
  <si>
    <t>DD: 2%</t>
  </si>
  <si>
    <t>Net Amount</t>
  </si>
  <si>
    <t>Mehmood Conf</t>
  </si>
  <si>
    <t>Faheem Conf</t>
  </si>
  <si>
    <t>24-07-26</t>
  </si>
  <si>
    <t>24-07-27</t>
  </si>
  <si>
    <t>Saeed Cigrate</t>
  </si>
  <si>
    <t>DD+CC</t>
  </si>
  <si>
    <t>Cheque no 183970431</t>
  </si>
  <si>
    <t>37</t>
  </si>
  <si>
    <t>38</t>
  </si>
  <si>
    <t>25-07-2025</t>
  </si>
  <si>
    <t>Zikariya store</t>
  </si>
  <si>
    <t>0691</t>
  </si>
  <si>
    <t>Irfan conf</t>
  </si>
  <si>
    <t>39</t>
  </si>
  <si>
    <t>40</t>
  </si>
  <si>
    <t>41</t>
  </si>
  <si>
    <t>42</t>
  </si>
  <si>
    <t>26-07-2025</t>
  </si>
  <si>
    <t>Zunaisha conf</t>
  </si>
  <si>
    <t>Panjwani conf</t>
  </si>
  <si>
    <t>Karachi conf</t>
  </si>
  <si>
    <t>0801</t>
  </si>
  <si>
    <t>0811</t>
  </si>
  <si>
    <t>43</t>
  </si>
  <si>
    <t>44</t>
  </si>
  <si>
    <t>45</t>
  </si>
  <si>
    <t>46</t>
  </si>
  <si>
    <t>Cheque no 183970432</t>
  </si>
  <si>
    <t>Schemen Issue discuss with asif</t>
  </si>
  <si>
    <t>Saad Medical</t>
  </si>
  <si>
    <t>ZA Mart</t>
  </si>
  <si>
    <t>Mashallah majid</t>
  </si>
  <si>
    <t>Cheque no 183970433</t>
  </si>
  <si>
    <t xml:space="preserve">Partial </t>
  </si>
  <si>
    <t>26-29-07-25</t>
  </si>
  <si>
    <t>29-07-2025</t>
  </si>
  <si>
    <t>Abdul Rahman</t>
  </si>
  <si>
    <t>Cheque no 183970434</t>
  </si>
  <si>
    <t>47</t>
  </si>
  <si>
    <t>30-07-2025</t>
  </si>
  <si>
    <t>Famous gs</t>
  </si>
  <si>
    <t>Ahmed mart</t>
  </si>
  <si>
    <t>Rameen cold</t>
  </si>
  <si>
    <t>0611</t>
  </si>
  <si>
    <t>Cheque no 183970435</t>
  </si>
  <si>
    <r>
      <t xml:space="preserve"> </t>
    </r>
    <r>
      <rPr>
        <b/>
        <sz val="18"/>
        <color theme="1"/>
        <rFont val="Calibri"/>
        <family val="2"/>
        <scheme val="minor"/>
      </rPr>
      <t>Received Delivery Report July 2025</t>
    </r>
  </si>
  <si>
    <r>
      <t xml:space="preserve"> </t>
    </r>
    <r>
      <rPr>
        <b/>
        <sz val="18"/>
        <color theme="1"/>
        <rFont val="Calibri"/>
        <family val="2"/>
        <scheme val="minor"/>
      </rPr>
      <t>Received Delivery Report August 2025</t>
    </r>
  </si>
  <si>
    <t>1</t>
  </si>
  <si>
    <t>2</t>
  </si>
  <si>
    <t>CD 2%</t>
  </si>
  <si>
    <t>Mahmood kasif</t>
  </si>
  <si>
    <t>RY traders</t>
  </si>
  <si>
    <t>31-07-25</t>
  </si>
  <si>
    <t>Saeed Citrate</t>
  </si>
  <si>
    <t>Cheque no 183970436</t>
  </si>
  <si>
    <t>2%DD-823</t>
  </si>
  <si>
    <t>3%CD-1235</t>
  </si>
  <si>
    <t>Shazad conf</t>
  </si>
  <si>
    <t>Tawakal conf</t>
  </si>
  <si>
    <t>1070</t>
  </si>
  <si>
    <t>CD3% DD2%</t>
  </si>
  <si>
    <t>1140</t>
  </si>
  <si>
    <t>2% 10561 DD</t>
  </si>
  <si>
    <t>3% 15841 CD</t>
  </si>
  <si>
    <t>Online Farhaj Account</t>
  </si>
  <si>
    <t>Cheque no 183970437</t>
  </si>
  <si>
    <t>Pak dry gs</t>
  </si>
  <si>
    <t>Clear</t>
  </si>
  <si>
    <t>Atif gs</t>
  </si>
  <si>
    <t>Cheque no 183970438</t>
  </si>
  <si>
    <t>Golden VIP St</t>
  </si>
  <si>
    <t xml:space="preserve">Faisal </t>
  </si>
  <si>
    <t>CD 3% --1732</t>
  </si>
  <si>
    <t>partial</t>
  </si>
  <si>
    <t>Asif conf</t>
  </si>
  <si>
    <t>Mehood Kashif</t>
  </si>
  <si>
    <t>Mashallah Habib</t>
  </si>
  <si>
    <t>FM marketing</t>
  </si>
  <si>
    <t>1360</t>
  </si>
  <si>
    <t>1290</t>
  </si>
  <si>
    <t>1320</t>
  </si>
  <si>
    <t>1270</t>
  </si>
  <si>
    <t>Cheque no 183970439</t>
  </si>
  <si>
    <t>Hasnain Conf</t>
  </si>
  <si>
    <t>Abdul wahab conf</t>
  </si>
  <si>
    <t>Younus store</t>
  </si>
  <si>
    <t>Ismail conf</t>
  </si>
  <si>
    <t>1390</t>
  </si>
  <si>
    <t>1380</t>
  </si>
  <si>
    <t>Current Date</t>
  </si>
  <si>
    <t>3%CD-964</t>
  </si>
  <si>
    <t>3% CD 3007</t>
  </si>
  <si>
    <t>3% 9133 CD</t>
  </si>
  <si>
    <t>2% 6089 DD</t>
  </si>
  <si>
    <t>Cheque no 183970440</t>
  </si>
  <si>
    <t>BS shahzad</t>
  </si>
  <si>
    <t>New Hassan</t>
  </si>
  <si>
    <t>1580</t>
  </si>
  <si>
    <t>1560</t>
  </si>
  <si>
    <t>1570</t>
  </si>
  <si>
    <t xml:space="preserve">Al shmas </t>
  </si>
  <si>
    <t>Famliy mart</t>
  </si>
  <si>
    <t>Replace with Cheque &amp; Partial</t>
  </si>
  <si>
    <t>Cheque no 183970441</t>
  </si>
  <si>
    <t>Prime Madical</t>
  </si>
  <si>
    <t>issue faisal</t>
  </si>
  <si>
    <t>Imran gs</t>
  </si>
  <si>
    <t>7980</t>
  </si>
  <si>
    <t>7990</t>
  </si>
  <si>
    <t>The good neighbour</t>
  </si>
  <si>
    <t>7970</t>
  </si>
  <si>
    <t>13/08/2025</t>
  </si>
  <si>
    <t>UBL-80436927</t>
  </si>
  <si>
    <t>Muhammadi pan</t>
  </si>
  <si>
    <t>12630</t>
  </si>
  <si>
    <t>12590</t>
  </si>
  <si>
    <t>12540</t>
  </si>
  <si>
    <t>Cheque no 183970442</t>
  </si>
  <si>
    <t>Cheque no 183970445</t>
  </si>
  <si>
    <t>15/08/2025</t>
  </si>
  <si>
    <t>Cheque no 183970446</t>
  </si>
  <si>
    <t>16/08/2025</t>
  </si>
  <si>
    <t>Net Balance</t>
  </si>
  <si>
    <t>Previous Balance</t>
  </si>
  <si>
    <t>Issue maroof</t>
  </si>
  <si>
    <t>Siraj bhai</t>
  </si>
  <si>
    <t>Nasir n sans</t>
  </si>
  <si>
    <t>Sinan conf</t>
  </si>
  <si>
    <t>Amir saleem</t>
  </si>
  <si>
    <t>62,500+47,679</t>
  </si>
  <si>
    <t>CD3% 3,713</t>
  </si>
  <si>
    <t>11-17/8/2025</t>
  </si>
  <si>
    <t>Sarim conf</t>
  </si>
  <si>
    <t>1750</t>
  </si>
  <si>
    <t>1730</t>
  </si>
  <si>
    <t>1720</t>
  </si>
  <si>
    <t>1680</t>
  </si>
  <si>
    <t>1690</t>
  </si>
  <si>
    <t>1650</t>
  </si>
  <si>
    <t>1660</t>
  </si>
  <si>
    <t>1670</t>
  </si>
  <si>
    <t>Huzaifa  ws</t>
  </si>
  <si>
    <t>Ashraf conf</t>
  </si>
  <si>
    <t>1780</t>
  </si>
  <si>
    <t>1820</t>
  </si>
  <si>
    <t>1830</t>
  </si>
  <si>
    <t>1810</t>
  </si>
  <si>
    <t>Famuos gs</t>
  </si>
  <si>
    <t>3440</t>
  </si>
  <si>
    <t>Cheque no 183970444</t>
  </si>
  <si>
    <t>Royal bakers</t>
  </si>
  <si>
    <t>Meo brother</t>
  </si>
  <si>
    <t>3300</t>
  </si>
  <si>
    <t>3390</t>
  </si>
  <si>
    <t>18/08/2025</t>
  </si>
  <si>
    <t>Dastageer</t>
  </si>
  <si>
    <t>MS farooq</t>
  </si>
  <si>
    <t xml:space="preserve">CD: 22600 +DD 15066 </t>
  </si>
  <si>
    <t>Cheque no 183970448</t>
  </si>
  <si>
    <t>19/08/2025</t>
  </si>
  <si>
    <t>20/08/2025</t>
  </si>
  <si>
    <t>MS Mashallah miik</t>
  </si>
  <si>
    <t>Cheque no 183970449</t>
  </si>
  <si>
    <t>48</t>
  </si>
  <si>
    <t>49</t>
  </si>
  <si>
    <t>50</t>
  </si>
  <si>
    <t>21/08/2025</t>
  </si>
  <si>
    <t>21-08-2025</t>
  </si>
  <si>
    <t>Mehmood kashif</t>
  </si>
  <si>
    <t>Dastagir</t>
  </si>
  <si>
    <t>1970</t>
  </si>
  <si>
    <t>1990</t>
  </si>
  <si>
    <t>CD3%</t>
  </si>
  <si>
    <t>Daniyal gs</t>
  </si>
  <si>
    <t>4710</t>
  </si>
  <si>
    <t>MH Pan</t>
  </si>
  <si>
    <t>Cheque no 183970450</t>
  </si>
  <si>
    <t>DD2%9815</t>
  </si>
  <si>
    <t>Shahzad conf</t>
  </si>
  <si>
    <t>22/08/2025</t>
  </si>
  <si>
    <t>CD3% 1214</t>
  </si>
  <si>
    <t>23-08-2025</t>
  </si>
  <si>
    <t>23/08/2025</t>
  </si>
  <si>
    <t>51</t>
  </si>
  <si>
    <t>52</t>
  </si>
  <si>
    <t>53</t>
  </si>
  <si>
    <t>54</t>
  </si>
  <si>
    <t>Replace with Cheque (Partial)</t>
  </si>
  <si>
    <t>Sale Men</t>
  </si>
  <si>
    <t>Total Invoice</t>
  </si>
  <si>
    <t>REMARKS</t>
  </si>
  <si>
    <t>Balance Amount</t>
  </si>
  <si>
    <t>Current Days</t>
  </si>
  <si>
    <t>Due Days</t>
  </si>
  <si>
    <t>Recovery-1</t>
  </si>
  <si>
    <t>Recovery-2</t>
  </si>
  <si>
    <t>Recovery-3</t>
  </si>
  <si>
    <t>Cheque no 183970452</t>
  </si>
  <si>
    <t>Abid conf</t>
  </si>
  <si>
    <t>2070</t>
  </si>
  <si>
    <t>2140</t>
  </si>
  <si>
    <t>2110</t>
  </si>
  <si>
    <t>1400</t>
  </si>
  <si>
    <t xml:space="preserve">3% CD </t>
  </si>
  <si>
    <t>Replace with Cheque(Partial)</t>
  </si>
  <si>
    <t>Replace with cheque</t>
  </si>
  <si>
    <t>issue Faizan</t>
  </si>
  <si>
    <t>2210</t>
  </si>
  <si>
    <t>Umair n Abid</t>
  </si>
  <si>
    <t>Noor store</t>
  </si>
  <si>
    <t>Ahmad mart</t>
  </si>
  <si>
    <t>Imran store</t>
  </si>
  <si>
    <t>25/08/2025</t>
  </si>
  <si>
    <t>25-08-25</t>
  </si>
  <si>
    <t>Al shams</t>
  </si>
  <si>
    <t>5930</t>
  </si>
  <si>
    <t>MS Farooq pan</t>
  </si>
  <si>
    <t>FOC</t>
  </si>
  <si>
    <t>Cheque no 183970453</t>
  </si>
  <si>
    <t>TO Claim July 2025</t>
  </si>
  <si>
    <t>55</t>
  </si>
  <si>
    <t>56</t>
  </si>
  <si>
    <t>57</t>
  </si>
  <si>
    <t>58</t>
  </si>
  <si>
    <t>59</t>
  </si>
  <si>
    <t>60</t>
  </si>
  <si>
    <t>61</t>
  </si>
  <si>
    <t>62</t>
  </si>
  <si>
    <t>26/08/2025</t>
  </si>
  <si>
    <t>Status</t>
  </si>
  <si>
    <t>26-08-25</t>
  </si>
  <si>
    <t>27/08/2025</t>
  </si>
  <si>
    <t>27-08-25</t>
  </si>
  <si>
    <t>Cheque no 156092595</t>
  </si>
  <si>
    <t>63</t>
  </si>
  <si>
    <t>64</t>
  </si>
  <si>
    <t>65</t>
  </si>
  <si>
    <t>66</t>
  </si>
  <si>
    <t>28/08/2025</t>
  </si>
  <si>
    <t>28-08-25</t>
  </si>
  <si>
    <t>2290</t>
  </si>
  <si>
    <t>2260</t>
  </si>
  <si>
    <t>Mashallha Habib</t>
  </si>
  <si>
    <t>2240</t>
  </si>
  <si>
    <t>2270</t>
  </si>
  <si>
    <t>2300</t>
  </si>
  <si>
    <t>67</t>
  </si>
  <si>
    <t>68</t>
  </si>
  <si>
    <t>29/08/2025</t>
  </si>
  <si>
    <t>Cheque no 156092596</t>
  </si>
  <si>
    <t>29-08-25</t>
  </si>
  <si>
    <t>AJ Conf</t>
  </si>
  <si>
    <t>Shahid Conf</t>
  </si>
  <si>
    <t>Shazy</t>
  </si>
  <si>
    <t>69</t>
  </si>
  <si>
    <t>70</t>
  </si>
  <si>
    <t>30/08/2055</t>
  </si>
  <si>
    <t>30/08/2025</t>
  </si>
  <si>
    <r>
      <t xml:space="preserve"> </t>
    </r>
    <r>
      <rPr>
        <b/>
        <sz val="18"/>
        <color theme="1"/>
        <rFont val="Calibri"/>
        <family val="2"/>
        <scheme val="minor"/>
      </rPr>
      <t>Received Delivery Report September 2025</t>
    </r>
  </si>
  <si>
    <t>Asghar store</t>
  </si>
  <si>
    <t>4685</t>
  </si>
  <si>
    <t>91</t>
  </si>
  <si>
    <t>30-08-25</t>
  </si>
  <si>
    <t>71</t>
  </si>
  <si>
    <t>72</t>
  </si>
  <si>
    <t>73</t>
  </si>
  <si>
    <t>74</t>
  </si>
  <si>
    <t>SS Conf</t>
  </si>
  <si>
    <t>Choice conf</t>
  </si>
  <si>
    <t>Karachi Conf</t>
  </si>
  <si>
    <t>Nadeem b</t>
  </si>
  <si>
    <t>Populer mart</t>
  </si>
  <si>
    <t>ok</t>
  </si>
  <si>
    <t>Cheque no 156092597</t>
  </si>
  <si>
    <t>75</t>
  </si>
  <si>
    <t>76</t>
  </si>
  <si>
    <t>Daniyal</t>
  </si>
  <si>
    <t>Bismillah cold spot</t>
  </si>
  <si>
    <t>Golden VIP Store</t>
  </si>
  <si>
    <t>19230</t>
  </si>
  <si>
    <t>19200</t>
  </si>
  <si>
    <t>Family mart</t>
  </si>
  <si>
    <t>18430</t>
  </si>
  <si>
    <t>Dastageer gs</t>
  </si>
  <si>
    <t>BS shazad</t>
  </si>
  <si>
    <t>Aslam Suplair(star)</t>
  </si>
  <si>
    <t>Replace with Cheque</t>
  </si>
  <si>
    <t>Cheque no 156092598</t>
  </si>
  <si>
    <t>Adil GS</t>
  </si>
  <si>
    <t>Premier GS</t>
  </si>
  <si>
    <t>Zunaisha conf(Mavia</t>
  </si>
  <si>
    <t>Cheque no 156092599</t>
  </si>
  <si>
    <t>Asghar GS</t>
  </si>
  <si>
    <t>9980</t>
  </si>
  <si>
    <t>Aslam Cold GS</t>
  </si>
  <si>
    <t>Hadid</t>
  </si>
  <si>
    <t>18720</t>
  </si>
  <si>
    <t>Cheque no 156092600</t>
  </si>
  <si>
    <t>Noor Store</t>
  </si>
  <si>
    <t>9330</t>
  </si>
  <si>
    <t>Al Shams</t>
  </si>
  <si>
    <t>9370</t>
  </si>
  <si>
    <t>Family Mart</t>
  </si>
  <si>
    <t>9500</t>
  </si>
  <si>
    <t>Sarim(Saeed Citrate)</t>
  </si>
  <si>
    <t>Agha conf</t>
  </si>
  <si>
    <t>Hussnain conf</t>
  </si>
  <si>
    <t>Cheque no 185116296</t>
  </si>
  <si>
    <t>Owais khan</t>
  </si>
  <si>
    <t>20010</t>
  </si>
  <si>
    <t>Saeed Super GS</t>
  </si>
  <si>
    <t>9990</t>
  </si>
  <si>
    <t>Tawakal Talha</t>
  </si>
  <si>
    <t>2730</t>
  </si>
  <si>
    <t>M.Majid</t>
  </si>
  <si>
    <t>A.wahab conf</t>
  </si>
  <si>
    <t>Popler Mart</t>
  </si>
  <si>
    <t>1030</t>
  </si>
  <si>
    <t>King GS</t>
  </si>
  <si>
    <t>2830</t>
  </si>
  <si>
    <t>Umair St</t>
  </si>
  <si>
    <t>0200</t>
  </si>
  <si>
    <t>Imran oil</t>
  </si>
  <si>
    <t>0300</t>
  </si>
  <si>
    <t>Maryam Pan</t>
  </si>
  <si>
    <t>0130</t>
  </si>
  <si>
    <t>Cheque no 185116297</t>
  </si>
  <si>
    <t>Replace With Cheque</t>
  </si>
  <si>
    <t>Imran GS</t>
  </si>
  <si>
    <t>Irfan con</t>
  </si>
  <si>
    <t>Cheque no 185116299</t>
  </si>
  <si>
    <t>Cheque no 185116300</t>
  </si>
  <si>
    <t>2490</t>
  </si>
  <si>
    <t>Noor harbal</t>
  </si>
  <si>
    <t>1250</t>
  </si>
  <si>
    <t>Cheque no 185116301</t>
  </si>
  <si>
    <t>1640</t>
  </si>
  <si>
    <t>Baqala mini mart</t>
  </si>
  <si>
    <t>Nasir n Sons</t>
  </si>
  <si>
    <t>Mehmood Kashif</t>
  </si>
  <si>
    <t>RY trader</t>
  </si>
  <si>
    <t>13/9/2025</t>
  </si>
  <si>
    <t>Online Biocare Account</t>
  </si>
  <si>
    <t>Saeed Super store</t>
  </si>
  <si>
    <t>Addul wahab</t>
  </si>
  <si>
    <t>Aslam supplier</t>
  </si>
  <si>
    <t>3140</t>
  </si>
  <si>
    <t>Huzaifa</t>
  </si>
  <si>
    <t>Atif Store</t>
  </si>
  <si>
    <t>Samiullah B</t>
  </si>
  <si>
    <t>Cheque no 185116302</t>
  </si>
  <si>
    <t>Bismillah Cold</t>
  </si>
  <si>
    <t>FB-CA0000025</t>
  </si>
  <si>
    <t>5%rs.30 You</t>
  </si>
  <si>
    <t>3%rs.10 Yamms</t>
  </si>
  <si>
    <t>4%rs.5 Bubble Pop</t>
  </si>
  <si>
    <t>4%rs.5 Éclair</t>
  </si>
  <si>
    <t>W/S aditional scheme July</t>
  </si>
  <si>
    <t>W/S scheme SND july</t>
  </si>
  <si>
    <t>BS Shahzad</t>
  </si>
  <si>
    <t>MS Farooq</t>
  </si>
  <si>
    <t>1740</t>
  </si>
  <si>
    <t>Cheque no 185116303</t>
  </si>
  <si>
    <t>16/9/2025</t>
  </si>
  <si>
    <t>Cheque no 185116305</t>
  </si>
  <si>
    <t>17/9/2025</t>
  </si>
  <si>
    <t>BI-00200972</t>
  </si>
  <si>
    <t>Cheque no 185116306</t>
  </si>
  <si>
    <t>Zikarya conf</t>
  </si>
  <si>
    <t>New Karachi</t>
  </si>
  <si>
    <t>Dastageer conf</t>
  </si>
  <si>
    <t>A.wahab conf-3040</t>
  </si>
  <si>
    <t>HM-184997934</t>
  </si>
  <si>
    <t>HM-184997935</t>
  </si>
  <si>
    <t>HM-184997936</t>
  </si>
  <si>
    <t>18/09/2025</t>
  </si>
  <si>
    <t>Cheque no 185116307</t>
  </si>
  <si>
    <t>19/09/2025</t>
  </si>
  <si>
    <t>Younus conf</t>
  </si>
  <si>
    <t>Nasir n sons</t>
  </si>
  <si>
    <t>20/09/2025</t>
  </si>
  <si>
    <t>Ss conf</t>
  </si>
  <si>
    <t>Karachi  conf</t>
  </si>
  <si>
    <t>Asif-2970</t>
  </si>
  <si>
    <t>BAH-11233693</t>
  </si>
  <si>
    <t>WS Adjustment</t>
  </si>
  <si>
    <t>DATE</t>
  </si>
  <si>
    <t>1ST</t>
  </si>
  <si>
    <t>2ND</t>
  </si>
  <si>
    <t>3RD</t>
  </si>
  <si>
    <t>4TH</t>
  </si>
  <si>
    <t>5TH</t>
  </si>
  <si>
    <t>6TH</t>
  </si>
  <si>
    <t>TOTAL CTNS</t>
  </si>
  <si>
    <t xml:space="preserve">RECEIVED CTNS DETAILS </t>
  </si>
  <si>
    <t>Al Noor Bakery</t>
  </si>
  <si>
    <t>Bismillah cold</t>
  </si>
  <si>
    <t>22/09/2025</t>
  </si>
  <si>
    <t>Cheque no 185116308</t>
  </si>
  <si>
    <t>Cheque no 185116309</t>
  </si>
  <si>
    <t xml:space="preserve">New Karachi </t>
  </si>
  <si>
    <t>BS Shazad</t>
  </si>
  <si>
    <t>BAH-11951590</t>
  </si>
  <si>
    <t>23/09/2025</t>
  </si>
  <si>
    <t>Tanveer</t>
  </si>
  <si>
    <t>Tawakal-3360</t>
  </si>
  <si>
    <t>BML-97671235</t>
  </si>
  <si>
    <t>Zunaisha(mavia)</t>
  </si>
  <si>
    <t>BI-00200981</t>
  </si>
  <si>
    <t>Cheque no 185116310</t>
  </si>
  <si>
    <t>New salani Asif</t>
  </si>
  <si>
    <t>Basmillha conf</t>
  </si>
  <si>
    <t>Faheem conf</t>
  </si>
  <si>
    <t>Madina conf</t>
  </si>
  <si>
    <t>25/09/2025</t>
  </si>
  <si>
    <t>MB-A22534767</t>
  </si>
  <si>
    <t>King Store</t>
  </si>
  <si>
    <t>Adeel GS</t>
  </si>
  <si>
    <t>BAH-11199047</t>
  </si>
  <si>
    <t>Agha conf(RY)</t>
  </si>
  <si>
    <t>Salman Store</t>
  </si>
  <si>
    <t>BAH-10297561</t>
  </si>
  <si>
    <t>Cheque no 185116311</t>
  </si>
  <si>
    <t>26/09/2025</t>
  </si>
  <si>
    <t>Hassnain</t>
  </si>
  <si>
    <t>A.Wahab</t>
  </si>
  <si>
    <t>HBL-00000109</t>
  </si>
  <si>
    <t>BAH-10410928</t>
  </si>
  <si>
    <t>27/09/2025</t>
  </si>
  <si>
    <t>W/S aditional scheme Aug-2025</t>
  </si>
  <si>
    <t>W/S scheme SND Aug-2025</t>
  </si>
  <si>
    <t>2%rs.5 Bubble Pop Classic Aug-2025</t>
  </si>
  <si>
    <t>2%rs.5 Bubble Pop Aug-2025</t>
  </si>
  <si>
    <t>4% Eclair Aug-2025</t>
  </si>
  <si>
    <t>5% off now Paste Aug-2025</t>
  </si>
  <si>
    <t>5% YOU Chocalate Rs:30 Aug-2025</t>
  </si>
  <si>
    <t>TO Aug-2025</t>
  </si>
  <si>
    <t>Bismillha conf</t>
  </si>
  <si>
    <t>BI-00200984</t>
  </si>
  <si>
    <t>BLH-10882636</t>
  </si>
  <si>
    <t>Irfan conf-3510</t>
  </si>
  <si>
    <t>BAH-26615302</t>
  </si>
  <si>
    <t>Ismail conf-3060-3350</t>
  </si>
  <si>
    <t>karachi conf</t>
  </si>
  <si>
    <t>Cheque no 185116298</t>
  </si>
  <si>
    <t>Bismillha conf(Amir sheikh)</t>
  </si>
  <si>
    <t>M.Habib</t>
  </si>
  <si>
    <t>RY tarder</t>
  </si>
  <si>
    <t>1591 Bal</t>
  </si>
  <si>
    <t>Mahood Kashif</t>
  </si>
  <si>
    <t>BIN ASIM FOC</t>
  </si>
  <si>
    <r>
      <t xml:space="preserve"> </t>
    </r>
    <r>
      <rPr>
        <b/>
        <sz val="18"/>
        <color theme="1"/>
        <rFont val="Calibri"/>
        <family val="2"/>
        <scheme val="minor"/>
      </rPr>
      <t>Received Delivery Report October 2025</t>
    </r>
  </si>
  <si>
    <t>Nadeem</t>
  </si>
  <si>
    <t>faizan</t>
  </si>
  <si>
    <t>BI-00041349</t>
  </si>
  <si>
    <t>MB-A13619451</t>
  </si>
  <si>
    <t>MCB-2051448494</t>
  </si>
  <si>
    <t>Ahmed &amp; sons</t>
  </si>
  <si>
    <t>Zikeria conf</t>
  </si>
  <si>
    <t>Zikeria conf-3680</t>
  </si>
  <si>
    <t>3%CD 1042</t>
  </si>
  <si>
    <t>MB-A25862276</t>
  </si>
  <si>
    <t>Khan conf-3870</t>
  </si>
  <si>
    <t>BML-97665080</t>
  </si>
  <si>
    <t>MB-A24462503</t>
  </si>
  <si>
    <t>Al noor store</t>
  </si>
  <si>
    <t>29/09/2025</t>
  </si>
  <si>
    <t>77</t>
  </si>
  <si>
    <t>78</t>
  </si>
  <si>
    <t>30/09-2025</t>
  </si>
  <si>
    <t>Mashahallha (Habib)</t>
  </si>
  <si>
    <t>BAF-47601576</t>
  </si>
  <si>
    <t>BAH-10295659</t>
  </si>
  <si>
    <t>BAH-10120457</t>
  </si>
  <si>
    <t>UBL-82440346</t>
  </si>
  <si>
    <t>HM-185566147</t>
  </si>
  <si>
    <t>Abid conf(ss conf)</t>
  </si>
  <si>
    <t>MB-A23202190</t>
  </si>
  <si>
    <t>79</t>
  </si>
  <si>
    <t>Cheque no 185116314</t>
  </si>
  <si>
    <t>Cancelled Replace an other cheque</t>
  </si>
  <si>
    <t>FB-AC000000049</t>
  </si>
  <si>
    <t>Askari-00094383</t>
  </si>
  <si>
    <t>BAH-10300293</t>
  </si>
  <si>
    <t>BAH-11644709</t>
  </si>
  <si>
    <t>Hammad noor</t>
  </si>
  <si>
    <t>MB-A80668924</t>
  </si>
  <si>
    <t>MB-A26649897</t>
  </si>
  <si>
    <t>MB-A23710778</t>
  </si>
  <si>
    <t>SB-00458707</t>
  </si>
  <si>
    <t>MB-E43683191</t>
  </si>
  <si>
    <t>UBL-84462344</t>
  </si>
  <si>
    <t>Standard B</t>
  </si>
  <si>
    <t>M.Farhaj Khan</t>
  </si>
  <si>
    <t>Hazik Zeeshan</t>
  </si>
  <si>
    <t>Ayan Pathan</t>
  </si>
  <si>
    <t>Waerhouse</t>
  </si>
  <si>
    <t xml:space="preserve">Salman </t>
  </si>
  <si>
    <t>Arsalan</t>
  </si>
  <si>
    <t>Ubaida</t>
  </si>
  <si>
    <t>Naqib</t>
  </si>
  <si>
    <t>Asgher</t>
  </si>
  <si>
    <t>Staff</t>
  </si>
  <si>
    <t>Total Days</t>
  </si>
  <si>
    <t>MB-A19464345</t>
  </si>
  <si>
    <t>S</t>
  </si>
  <si>
    <t>BAH-11199050</t>
  </si>
  <si>
    <t>BAH-11199049</t>
  </si>
  <si>
    <t>Shahid &amp; Bilal gs</t>
  </si>
  <si>
    <t>MB-A26649904</t>
  </si>
  <si>
    <t>BI-00041370</t>
  </si>
  <si>
    <t>Ahmed mini mart</t>
  </si>
  <si>
    <t>BML-97666926</t>
  </si>
  <si>
    <t>HM-185933572</t>
  </si>
  <si>
    <t>HM-185933573</t>
  </si>
  <si>
    <t>HM-185933574</t>
  </si>
  <si>
    <t>HM-185933575</t>
  </si>
  <si>
    <t>HM-185933576</t>
  </si>
  <si>
    <t>HBL-00000168</t>
  </si>
  <si>
    <t>Tawakal conf-3660</t>
  </si>
  <si>
    <t>BML-97671236</t>
  </si>
  <si>
    <t>BAH-10302761</t>
  </si>
  <si>
    <t>Hussnain-3690</t>
  </si>
  <si>
    <t>BAH-11951601</t>
  </si>
  <si>
    <t>BAH-10079310</t>
  </si>
  <si>
    <t>Guard</t>
  </si>
  <si>
    <t>Cheque no 185116315</t>
  </si>
  <si>
    <t>Cheque no 185116316</t>
  </si>
  <si>
    <t>BAF-47601581</t>
  </si>
  <si>
    <t>BAH-10295660</t>
  </si>
  <si>
    <t>The Mart</t>
  </si>
  <si>
    <t>BAH-10416558</t>
  </si>
  <si>
    <t>MB-A076677380</t>
  </si>
  <si>
    <t>HM-185912281</t>
  </si>
  <si>
    <t>BAH-10302010</t>
  </si>
  <si>
    <t>Pupler Mart</t>
  </si>
  <si>
    <t>Tattari</t>
  </si>
  <si>
    <t>Zikriya</t>
  </si>
  <si>
    <t>BAH-10300305</t>
  </si>
  <si>
    <t>3%CD 2209</t>
  </si>
  <si>
    <t>Hasnain conf</t>
  </si>
  <si>
    <t>Saeed Citrate-3970</t>
  </si>
  <si>
    <t>HBL-000000169</t>
  </si>
  <si>
    <t>UBL-84462345</t>
  </si>
  <si>
    <t>MB-E43683194</t>
  </si>
  <si>
    <t>Zunasha conf</t>
  </si>
  <si>
    <t>MH pan</t>
  </si>
  <si>
    <t>3990</t>
  </si>
  <si>
    <t>BAH-11644727</t>
  </si>
  <si>
    <t>MB-A23710781</t>
  </si>
  <si>
    <t>BAH-10887582</t>
  </si>
  <si>
    <t>Irfan store-3840</t>
  </si>
  <si>
    <t>Ismail conf-3670</t>
  </si>
  <si>
    <t>BAH-10297570</t>
  </si>
  <si>
    <t>Ismail conf-4010</t>
  </si>
  <si>
    <t>BAH-10290095</t>
  </si>
  <si>
    <t>Owais</t>
  </si>
  <si>
    <t>30760</t>
  </si>
  <si>
    <t>M</t>
  </si>
  <si>
    <t>TU</t>
  </si>
  <si>
    <t>W</t>
  </si>
  <si>
    <t>TH</t>
  </si>
  <si>
    <t>F</t>
  </si>
  <si>
    <t>SAT</t>
  </si>
  <si>
    <t>Cheque no 185116317</t>
  </si>
  <si>
    <t>31370</t>
  </si>
  <si>
    <t>MB-A22534771</t>
  </si>
  <si>
    <t>BI-00041351</t>
  </si>
  <si>
    <t>BAH-11093729</t>
  </si>
  <si>
    <t>UBL-85063376</t>
  </si>
  <si>
    <t>MB-A21702007</t>
  </si>
  <si>
    <t>BAH11199051</t>
  </si>
  <si>
    <t>BML-97665082</t>
  </si>
  <si>
    <t>MB-A26649925</t>
  </si>
  <si>
    <t>31080</t>
  </si>
  <si>
    <t>Baqalaconf</t>
  </si>
  <si>
    <t>BAH-10859248</t>
  </si>
  <si>
    <t>MB-A25862292</t>
  </si>
  <si>
    <t>Cheque no 185116318</t>
  </si>
  <si>
    <t>BAF-47601585</t>
  </si>
  <si>
    <t>UBL-82440352</t>
  </si>
  <si>
    <t>AB-2500151645</t>
  </si>
  <si>
    <t>MB-A27166102</t>
  </si>
  <si>
    <t>031080</t>
  </si>
  <si>
    <t>Abdullha cold</t>
  </si>
  <si>
    <t>Shezy</t>
  </si>
  <si>
    <t>MB-A23202192</t>
  </si>
  <si>
    <t>BAH-10416577</t>
  </si>
  <si>
    <t>HBL-000000428</t>
  </si>
  <si>
    <t>MB-A07667383</t>
  </si>
  <si>
    <t>Qadeer Store</t>
  </si>
  <si>
    <t>Parim store</t>
  </si>
  <si>
    <t>Cheque no 185116319</t>
  </si>
  <si>
    <t>Sunday</t>
  </si>
  <si>
    <t>October</t>
  </si>
  <si>
    <t>32270</t>
  </si>
  <si>
    <t>BAF-48241656</t>
  </si>
  <si>
    <t>BAF-47250946</t>
  </si>
  <si>
    <t>BAH-11644744</t>
  </si>
  <si>
    <t>BM food</t>
  </si>
  <si>
    <t>MB-A23710785</t>
  </si>
  <si>
    <t>Fahad GS</t>
  </si>
  <si>
    <t>31600</t>
  </si>
  <si>
    <t>Standard Store</t>
  </si>
  <si>
    <t>SB-00458711</t>
  </si>
  <si>
    <t>MB-E43683205</t>
  </si>
  <si>
    <t>UBL-84462349</t>
  </si>
  <si>
    <t>30860</t>
  </si>
  <si>
    <t>Cheque no 185116320</t>
  </si>
  <si>
    <t>BI-00041357</t>
  </si>
  <si>
    <t>MB-A-13619457</t>
  </si>
  <si>
    <t>MB-A19464347</t>
  </si>
  <si>
    <t>Ahmed n sons</t>
  </si>
  <si>
    <t>MB-A26649955</t>
  </si>
  <si>
    <t>MB-A27166112</t>
  </si>
  <si>
    <t>AB-2504826602</t>
  </si>
  <si>
    <t>MB-A21702010</t>
  </si>
  <si>
    <t>Salf mart</t>
  </si>
  <si>
    <t>Saeed citrate</t>
  </si>
  <si>
    <t>HBL-00000174</t>
  </si>
  <si>
    <t>HBL-00000173</t>
  </si>
  <si>
    <t>HBL-00000172</t>
  </si>
  <si>
    <t>HBL-00000171</t>
  </si>
  <si>
    <t>BML-97666942</t>
  </si>
  <si>
    <t>Tawakal conf-4020</t>
  </si>
  <si>
    <t>MCB-2045687492</t>
  </si>
  <si>
    <t>BAH-10302763</t>
  </si>
  <si>
    <t>HM-185566158</t>
  </si>
  <si>
    <t>Cheque no 186122471</t>
  </si>
  <si>
    <t>Premier gs</t>
  </si>
  <si>
    <t>UBL-82440359</t>
  </si>
  <si>
    <t>BAH-10410939</t>
  </si>
  <si>
    <t>MB-A25766048</t>
  </si>
  <si>
    <t>BAH-10303422</t>
  </si>
  <si>
    <t>Zikariya conf</t>
  </si>
  <si>
    <t>BAH-10301398</t>
  </si>
  <si>
    <t>Kainat conf</t>
  </si>
  <si>
    <t>A.wahab</t>
  </si>
  <si>
    <t>4360</t>
  </si>
  <si>
    <t>4370</t>
  </si>
  <si>
    <t>Fayyaz conf</t>
  </si>
  <si>
    <t>DIB-32058324</t>
  </si>
  <si>
    <t>MB-A24079056</t>
  </si>
  <si>
    <t>BAF-26615305</t>
  </si>
  <si>
    <t>KPO Suleman</t>
  </si>
  <si>
    <t>MB-E43683208</t>
  </si>
  <si>
    <t>UBL-84462350</t>
  </si>
  <si>
    <t>BAF-47250948</t>
  </si>
  <si>
    <t>MB-A24079057</t>
  </si>
  <si>
    <t>BAH-10694713</t>
  </si>
  <si>
    <t>HM-185912353</t>
  </si>
  <si>
    <t>Cheque no 186122472</t>
  </si>
  <si>
    <t>Golden vip</t>
  </si>
  <si>
    <t>irfan conf</t>
  </si>
  <si>
    <t>M.majid</t>
  </si>
  <si>
    <t>MB-A27166122</t>
  </si>
  <si>
    <t>MB-A26649968</t>
  </si>
  <si>
    <t>BML-97665084</t>
  </si>
  <si>
    <t>MCB-2051448512</t>
  </si>
  <si>
    <t>Al noor</t>
  </si>
  <si>
    <t>MB-A25862303</t>
  </si>
  <si>
    <t>13-10-2025</t>
  </si>
  <si>
    <t>UBL-85063403</t>
  </si>
  <si>
    <t>Shahdi &amp; Bilal</t>
  </si>
  <si>
    <t>FB-CA000001735</t>
  </si>
  <si>
    <t>August</t>
  </si>
  <si>
    <t>September</t>
  </si>
  <si>
    <t>Cheque no 186122473</t>
  </si>
  <si>
    <t>CD%</t>
  </si>
  <si>
    <t>Nadeem conf</t>
  </si>
  <si>
    <t>Cool Kiryana</t>
  </si>
  <si>
    <t>FB-CA00000001625</t>
  </si>
  <si>
    <t>UBL-82543876</t>
  </si>
  <si>
    <t>BAH-10418473</t>
  </si>
  <si>
    <t>MB-A25766049</t>
  </si>
  <si>
    <t>Panjwani-4110</t>
  </si>
  <si>
    <t>BLH-10300296</t>
  </si>
  <si>
    <t>14-10-2025</t>
  </si>
  <si>
    <t>UBL-82440362</t>
  </si>
  <si>
    <t>BAF-47601594</t>
  </si>
  <si>
    <t>Naimal mart</t>
  </si>
  <si>
    <t>34270</t>
  </si>
  <si>
    <t>13-8-2025</t>
  </si>
  <si>
    <t>Zikeriya conf</t>
  </si>
  <si>
    <t>BAH-11644773</t>
  </si>
  <si>
    <t>MB-A80668925</t>
  </si>
  <si>
    <t>MB-A24079060</t>
  </si>
  <si>
    <t>Hmmad noor</t>
  </si>
  <si>
    <t>FM marketing-3220</t>
  </si>
  <si>
    <t>BAH-10046571</t>
  </si>
  <si>
    <t>BAH-10046572</t>
  </si>
  <si>
    <t>UBL-85061294</t>
  </si>
  <si>
    <t>Hasnain Conf-4040</t>
  </si>
  <si>
    <t>Aslam suplair</t>
  </si>
  <si>
    <t>SB-CA82028039</t>
  </si>
  <si>
    <t>HM-185933603</t>
  </si>
  <si>
    <t>A.Wahab-4360</t>
  </si>
  <si>
    <t>HM-185933604</t>
  </si>
  <si>
    <t>HM-185933605</t>
  </si>
  <si>
    <t>HM-185933606</t>
  </si>
  <si>
    <t>HM-185933607</t>
  </si>
  <si>
    <t>15-10-2025</t>
  </si>
  <si>
    <t>Noor Harbal</t>
  </si>
  <si>
    <t>34330</t>
  </si>
  <si>
    <t xml:space="preserve">Distribution Target Incentive July </t>
  </si>
  <si>
    <t xml:space="preserve">Distribution Target Incentive Aug </t>
  </si>
  <si>
    <t>Adjust Aug</t>
  </si>
  <si>
    <t>Mid way</t>
  </si>
  <si>
    <t>4630</t>
  </si>
  <si>
    <t>34510</t>
  </si>
  <si>
    <t>BAH-11442024</t>
  </si>
  <si>
    <t>BAH-11449581</t>
  </si>
  <si>
    <t>Stantder</t>
  </si>
  <si>
    <t>Fahad store</t>
  </si>
  <si>
    <t>Cheque no 186122474</t>
  </si>
  <si>
    <t>Cheque no 186122475</t>
  </si>
  <si>
    <t xml:space="preserve">Panjawani </t>
  </si>
  <si>
    <t>4620</t>
  </si>
  <si>
    <t>RY Traders</t>
  </si>
  <si>
    <t>M. Habib</t>
  </si>
  <si>
    <t>Abid Conf</t>
  </si>
  <si>
    <t>MB-A16623417</t>
  </si>
  <si>
    <t>2% 511CD</t>
  </si>
  <si>
    <t>Midway Food-4630</t>
  </si>
  <si>
    <t>MB-E43683218</t>
  </si>
  <si>
    <t>Midway Food-4510</t>
  </si>
  <si>
    <t>MB-E43683219</t>
  </si>
  <si>
    <t>BAH-10221877</t>
  </si>
  <si>
    <t>BI-00041388</t>
  </si>
  <si>
    <t>Ahmad store</t>
  </si>
  <si>
    <t>MB-A26649985</t>
  </si>
  <si>
    <t>BI-00201666</t>
  </si>
  <si>
    <t>MB-A21702015</t>
  </si>
  <si>
    <t>Baqala mart</t>
  </si>
  <si>
    <t>BAH-10151942</t>
  </si>
  <si>
    <t>RY Traders-3960</t>
  </si>
  <si>
    <t>BLH-10079325</t>
  </si>
  <si>
    <t>16-10-2025</t>
  </si>
  <si>
    <t>Cheque no 186122476</t>
  </si>
  <si>
    <t>Panjwani-4620</t>
  </si>
  <si>
    <t>BAH-10968576</t>
  </si>
  <si>
    <t>BAH-10968580</t>
  </si>
  <si>
    <t>HM-185520929</t>
  </si>
  <si>
    <t>BAH-10300318</t>
  </si>
  <si>
    <t>Shazad</t>
  </si>
  <si>
    <t>Zikeria</t>
  </si>
  <si>
    <t>Hasnain</t>
  </si>
  <si>
    <t>Ismail</t>
  </si>
  <si>
    <t>BAF-47601596</t>
  </si>
  <si>
    <t>BAH-10418516</t>
  </si>
  <si>
    <t>MB-A25766055</t>
  </si>
  <si>
    <t>BAH-10694720</t>
  </si>
  <si>
    <t>BAH-10302017</t>
  </si>
  <si>
    <t>Abdullah cold</t>
  </si>
  <si>
    <t>Dattari GS</t>
  </si>
  <si>
    <t>17-10-2025</t>
  </si>
  <si>
    <t>MB-A23710796</t>
  </si>
  <si>
    <t>SS conf</t>
  </si>
  <si>
    <t>Mavia conf</t>
  </si>
  <si>
    <t xml:space="preserve">White smoke </t>
  </si>
  <si>
    <t>Tariq brother</t>
  </si>
  <si>
    <t>MB-E43683221</t>
  </si>
  <si>
    <t>BAH-11449588</t>
  </si>
  <si>
    <t xml:space="preserve">Mid Way </t>
  </si>
  <si>
    <t>BAF-48241660</t>
  </si>
  <si>
    <t>Irfan conf-4500</t>
  </si>
  <si>
    <t>Ismail conf-4340</t>
  </si>
  <si>
    <t>BAH-10303138</t>
  </si>
  <si>
    <t>cd 3743</t>
  </si>
  <si>
    <t>cd 1438</t>
  </si>
  <si>
    <t>cd 2598</t>
  </si>
  <si>
    <t>Zikariya conf-4640</t>
  </si>
  <si>
    <t>BAH-10303444</t>
  </si>
  <si>
    <t>20-10-2025</t>
  </si>
  <si>
    <t>Cheque no 186122477</t>
  </si>
  <si>
    <t>BAH-10151938</t>
  </si>
  <si>
    <t>Panjwani-4800</t>
  </si>
  <si>
    <t>HM-185520932</t>
  </si>
  <si>
    <t>HM-185520933</t>
  </si>
  <si>
    <t>HM-185520930</t>
  </si>
  <si>
    <t>HM-185520931</t>
  </si>
  <si>
    <t>Khan conf-4750</t>
  </si>
  <si>
    <t>MB-A25862321</t>
  </si>
  <si>
    <t>UBL-84462304</t>
  </si>
  <si>
    <t>BI-00201673</t>
  </si>
  <si>
    <t>BAH-11093734</t>
  </si>
  <si>
    <t>MB-A28398626</t>
  </si>
  <si>
    <t>AB-2505970794</t>
  </si>
  <si>
    <t>UBL-86373278</t>
  </si>
  <si>
    <t>Self Mart</t>
  </si>
  <si>
    <t xml:space="preserve">Al Shmas </t>
  </si>
  <si>
    <t>MCB-2051448519</t>
  </si>
  <si>
    <t>BI-00041408</t>
  </si>
  <si>
    <t>BAH-10221882</t>
  </si>
  <si>
    <t>Ahmed Mart</t>
  </si>
  <si>
    <t>MCB-05094432</t>
  </si>
  <si>
    <t>MB-A28413462</t>
  </si>
  <si>
    <t>Cheque no 186122478</t>
  </si>
  <si>
    <t>TGT</t>
  </si>
  <si>
    <t>Fiazin</t>
  </si>
  <si>
    <t>6470</t>
  </si>
  <si>
    <t>6530</t>
  </si>
  <si>
    <t>BAH-1048535</t>
  </si>
  <si>
    <t>HBL-0000441</t>
  </si>
  <si>
    <t>MB-A25766058</t>
  </si>
  <si>
    <t>UBL-82440366</t>
  </si>
  <si>
    <t>Prime Gs</t>
  </si>
  <si>
    <t>UBL-82543877</t>
  </si>
  <si>
    <t>BAH-10302020</t>
  </si>
  <si>
    <t>BML-97662923</t>
  </si>
  <si>
    <t xml:space="preserve">Siraj-3540 </t>
  </si>
  <si>
    <t>21-10-2025</t>
  </si>
  <si>
    <t>UBL-86373267</t>
  </si>
  <si>
    <t>Cheque no 186122479</t>
  </si>
  <si>
    <t xml:space="preserve">Tawakal </t>
  </si>
  <si>
    <t>Bismillah conf(Amir Sheikh)</t>
  </si>
  <si>
    <t xml:space="preserve">MH Pan </t>
  </si>
  <si>
    <t>Bismillah conf Amir</t>
  </si>
  <si>
    <t>UBL-84462305</t>
  </si>
  <si>
    <t>MB-E43683231</t>
  </si>
  <si>
    <t>Amman GS</t>
  </si>
  <si>
    <t>37030</t>
  </si>
  <si>
    <t>MB-A24079064</t>
  </si>
  <si>
    <t>BAH-11647249</t>
  </si>
  <si>
    <t>M.Pan</t>
  </si>
  <si>
    <t>22-10-2025</t>
  </si>
  <si>
    <t>23-10-225</t>
  </si>
  <si>
    <t>Cheque no 186122480</t>
  </si>
  <si>
    <t>BS Nadeem</t>
  </si>
  <si>
    <t>New karachi</t>
  </si>
  <si>
    <t>23-10-2025</t>
  </si>
  <si>
    <t>Nasir &amp; sons</t>
  </si>
  <si>
    <t>M.Rahim</t>
  </si>
  <si>
    <t>MH.Pan</t>
  </si>
  <si>
    <t>MB-A26471065</t>
  </si>
  <si>
    <t>BML-97668393</t>
  </si>
  <si>
    <t>BS Amir</t>
  </si>
  <si>
    <t>CD 433</t>
  </si>
  <si>
    <t>CD 44</t>
  </si>
  <si>
    <t>MB-A19464353</t>
  </si>
  <si>
    <t>MB-A28413489</t>
  </si>
  <si>
    <t>BI-00201682</t>
  </si>
  <si>
    <t>Umair&amp;Abid</t>
  </si>
  <si>
    <t>37360</t>
  </si>
  <si>
    <t>37190</t>
  </si>
  <si>
    <t>BAH-11233702</t>
  </si>
  <si>
    <t>Tawakal conf-4330</t>
  </si>
  <si>
    <t>Shazad conf-4650</t>
  </si>
  <si>
    <t>Askari-00184966</t>
  </si>
  <si>
    <t>TO Sep-2025</t>
  </si>
  <si>
    <t>DIB-32058323</t>
  </si>
  <si>
    <t>Zunaisha-4450</t>
  </si>
  <si>
    <t xml:space="preserve">Madina conf </t>
  </si>
  <si>
    <t>Mashallah (Habib)</t>
  </si>
  <si>
    <t>Abdul wahab</t>
  </si>
  <si>
    <t>Farooq conf</t>
  </si>
  <si>
    <t>Cheque no 186122481</t>
  </si>
  <si>
    <t>Mashallah (Majid)</t>
  </si>
  <si>
    <t>BS Shehzad</t>
  </si>
  <si>
    <t>BAH-11013913</t>
  </si>
  <si>
    <t>BAH-11093736</t>
  </si>
  <si>
    <t>Umair n Abid-37190</t>
  </si>
  <si>
    <t>MB-A22195539</t>
  </si>
  <si>
    <t>Ghanchi General</t>
  </si>
  <si>
    <t>38350</t>
  </si>
  <si>
    <t>24-10-2025</t>
  </si>
  <si>
    <t xml:space="preserve">Yamin conf </t>
  </si>
  <si>
    <t>5040</t>
  </si>
  <si>
    <t xml:space="preserve">Karachi conf  </t>
  </si>
  <si>
    <t>5050</t>
  </si>
  <si>
    <t>5010</t>
  </si>
  <si>
    <t>5060</t>
  </si>
  <si>
    <t>Umair GS</t>
  </si>
  <si>
    <t>Owais khna</t>
  </si>
  <si>
    <t>Mid Way B</t>
  </si>
  <si>
    <t>BAF-47250962</t>
  </si>
  <si>
    <t>BAH-11449597</t>
  </si>
  <si>
    <t>UBL-84462308</t>
  </si>
  <si>
    <t>UBL-84462309</t>
  </si>
  <si>
    <t>BAF-26615307</t>
  </si>
  <si>
    <t>clear</t>
  </si>
  <si>
    <t>MCB-2052171667</t>
  </si>
  <si>
    <t>Cheque no 186122482</t>
  </si>
  <si>
    <t>Total  CD</t>
  </si>
  <si>
    <t>Golden Vip</t>
  </si>
  <si>
    <t xml:space="preserve">Ahmed mart </t>
  </si>
  <si>
    <t>BAH-11013927</t>
  </si>
  <si>
    <t>MB-A27489348</t>
  </si>
  <si>
    <t>Luck Pan</t>
  </si>
  <si>
    <t>MB-A28819788</t>
  </si>
  <si>
    <t>ZA.Mart</t>
  </si>
  <si>
    <t>38490</t>
  </si>
  <si>
    <t>UBL-85063444</t>
  </si>
  <si>
    <t>FB-CA0001753</t>
  </si>
  <si>
    <t>38580</t>
  </si>
  <si>
    <t>27-10-2025</t>
  </si>
  <si>
    <t>80</t>
  </si>
  <si>
    <t>Cheque no 186122483</t>
  </si>
  <si>
    <t>BAH-10304288</t>
  </si>
  <si>
    <t>UBL-82440372</t>
  </si>
  <si>
    <t>Prime gs</t>
  </si>
  <si>
    <t>Tawakal trader GT</t>
  </si>
  <si>
    <t>9440</t>
  </si>
  <si>
    <t>81</t>
  </si>
  <si>
    <t>HBL-00000446</t>
  </si>
  <si>
    <t>BAH-10418267</t>
  </si>
  <si>
    <t>Ms Milk Shop</t>
  </si>
  <si>
    <t>8890</t>
  </si>
  <si>
    <t>Al Makkah</t>
  </si>
  <si>
    <t>28-10-25</t>
  </si>
  <si>
    <t>Panjwani-5060</t>
  </si>
  <si>
    <t>BAH-10968584</t>
  </si>
  <si>
    <t>FB-CA0000453</t>
  </si>
  <si>
    <t>FB-CA0000451</t>
  </si>
  <si>
    <t>FB-CA0000454</t>
  </si>
  <si>
    <t>BAH-10694727</t>
  </si>
  <si>
    <t>Faizan/Hadid</t>
  </si>
  <si>
    <t>Asger/Shazy</t>
  </si>
  <si>
    <t>Khan conf-5080</t>
  </si>
  <si>
    <t>BAH-11647259</t>
  </si>
  <si>
    <t>28-10-2025</t>
  </si>
  <si>
    <t>82</t>
  </si>
  <si>
    <t>83</t>
  </si>
  <si>
    <t>84</t>
  </si>
  <si>
    <t>86</t>
  </si>
  <si>
    <t>87</t>
  </si>
  <si>
    <t>88</t>
  </si>
  <si>
    <t>89</t>
  </si>
  <si>
    <t>90</t>
  </si>
  <si>
    <t>Cheque no 186122484</t>
  </si>
  <si>
    <t>Salesman</t>
  </si>
  <si>
    <t>Fahad ***</t>
  </si>
  <si>
    <t>November</t>
  </si>
  <si>
    <t>BAF-48241662</t>
  </si>
  <si>
    <t>MB-A24079065</t>
  </si>
  <si>
    <t>39960</t>
  </si>
  <si>
    <t>9850</t>
  </si>
  <si>
    <t>BI-00042607</t>
  </si>
  <si>
    <t>29-10-2025</t>
  </si>
  <si>
    <t>BAH-10887589</t>
  </si>
  <si>
    <t>29-10-25</t>
  </si>
  <si>
    <t>BAH-11449599</t>
  </si>
  <si>
    <t>UBL-84462314</t>
  </si>
  <si>
    <t>MB-A28819794</t>
  </si>
  <si>
    <t>Hazara gs</t>
  </si>
  <si>
    <t>Amman gs</t>
  </si>
  <si>
    <t>Ibthaj gs</t>
  </si>
  <si>
    <t>Prance st</t>
  </si>
  <si>
    <t>Umair st</t>
  </si>
  <si>
    <t>30-10-2025</t>
  </si>
  <si>
    <t>Cheque no 186122485</t>
  </si>
  <si>
    <t>Cheque no 186122486</t>
  </si>
  <si>
    <t>WS Addittional scheme Sep 2025</t>
  </si>
  <si>
    <r>
      <t xml:space="preserve"> </t>
    </r>
    <r>
      <rPr>
        <b/>
        <sz val="18"/>
        <color theme="1"/>
        <rFont val="Calibri"/>
        <family val="2"/>
        <scheme val="minor"/>
      </rPr>
      <t>Received Delivery Report November 2025</t>
    </r>
  </si>
  <si>
    <t>BI-00042609</t>
  </si>
  <si>
    <t>Luck Pioneer gs</t>
  </si>
  <si>
    <t>HM-186184476</t>
  </si>
  <si>
    <t>MB-A28398631</t>
  </si>
  <si>
    <t>39830</t>
  </si>
  <si>
    <t>W/S scheme SND Sep-2025</t>
  </si>
  <si>
    <t>Distributor Target Incentive Sep-2025</t>
  </si>
  <si>
    <t>Dastageer conf-2460</t>
  </si>
  <si>
    <t>BAH-10302767</t>
  </si>
  <si>
    <t>MH Pan-4900</t>
  </si>
  <si>
    <t>HM-186607756</t>
  </si>
  <si>
    <t>Ismail conf-4960</t>
  </si>
  <si>
    <t>BAH-10303143</t>
  </si>
  <si>
    <t>Ismail conf-4670</t>
  </si>
  <si>
    <t>CD 2214</t>
  </si>
  <si>
    <t>CD 1738</t>
  </si>
  <si>
    <t>BAH-10303145</t>
  </si>
  <si>
    <t>BML-97668406</t>
  </si>
  <si>
    <t>BAH-11198025</t>
  </si>
  <si>
    <t>BAH-11198026</t>
  </si>
  <si>
    <t>BAH-11198027</t>
  </si>
  <si>
    <t>Javid &amp; sons-5250</t>
  </si>
  <si>
    <t>Faheem Traders-5270</t>
  </si>
  <si>
    <t>FM Marketing-5220</t>
  </si>
  <si>
    <t>Huzaifa WS</t>
  </si>
  <si>
    <t>Nasir&amp;Sons</t>
  </si>
  <si>
    <t>A.Wahab-4660</t>
  </si>
  <si>
    <t>HBL-000000177</t>
  </si>
  <si>
    <t>HBL-000000178</t>
  </si>
  <si>
    <t>BML-97671247</t>
  </si>
  <si>
    <t>Askari-00187196</t>
  </si>
  <si>
    <t>CD 1400</t>
  </si>
  <si>
    <t>CD 789</t>
  </si>
  <si>
    <t>MB-A99949650</t>
  </si>
  <si>
    <t>BAH-10418291</t>
  </si>
  <si>
    <t>Prime Super st</t>
  </si>
  <si>
    <t xml:space="preserve">Saleem </t>
  </si>
  <si>
    <t>BI-85461823</t>
  </si>
  <si>
    <t>Datari GS</t>
  </si>
  <si>
    <t>40700</t>
  </si>
  <si>
    <t>31-10-2025</t>
  </si>
  <si>
    <t>BAH-10221892</t>
  </si>
  <si>
    <t>BAH-10304295</t>
  </si>
  <si>
    <t>Amir Saleem gs</t>
  </si>
  <si>
    <t>Ahmed store</t>
  </si>
  <si>
    <t>The mart</t>
  </si>
  <si>
    <t>Pak Dry</t>
  </si>
  <si>
    <t>BAH-10303474</t>
  </si>
  <si>
    <t>Zikariya conf-5340</t>
  </si>
  <si>
    <t>Qadeer Med</t>
  </si>
  <si>
    <t>39950</t>
  </si>
  <si>
    <t>Twakal conf</t>
  </si>
  <si>
    <t>MB-A24079067</t>
  </si>
  <si>
    <t>UBL-84462316</t>
  </si>
  <si>
    <t>BAH-11449607</t>
  </si>
  <si>
    <t>MB-A28819800</t>
  </si>
  <si>
    <t>Cheque no 186122487</t>
  </si>
  <si>
    <t>41590</t>
  </si>
  <si>
    <t>41650</t>
  </si>
  <si>
    <t>BI-00042611</t>
  </si>
  <si>
    <t>MB-A28398632</t>
  </si>
  <si>
    <t>UBL-85063460</t>
  </si>
  <si>
    <t>HBL-00000451</t>
  </si>
  <si>
    <t>MB-A28413531</t>
  </si>
  <si>
    <t>MB-A28543915</t>
  </si>
  <si>
    <t>Cheque no 186122488</t>
  </si>
  <si>
    <t>BAH50658005</t>
  </si>
  <si>
    <t>41960</t>
  </si>
  <si>
    <t>BAH-11226309</t>
  </si>
  <si>
    <t>Stander B</t>
  </si>
  <si>
    <t>BAH-10305253</t>
  </si>
  <si>
    <t>UBL-82440375</t>
  </si>
  <si>
    <t>MB-A20392695</t>
  </si>
  <si>
    <t>BAH-10420313</t>
  </si>
  <si>
    <t>MS Milk</t>
  </si>
  <si>
    <t>41430</t>
  </si>
  <si>
    <t>Saleem GS</t>
  </si>
  <si>
    <t>BAH-10305252</t>
  </si>
  <si>
    <t>BAH-10968585</t>
  </si>
  <si>
    <t>HM-186469441</t>
  </si>
  <si>
    <t>MB-D56746087</t>
  </si>
  <si>
    <t>FB-CA0000456</t>
  </si>
  <si>
    <t>Cheque no 186122489</t>
  </si>
  <si>
    <t>Sumair *</t>
  </si>
  <si>
    <t>Pak dry gs-39750</t>
  </si>
  <si>
    <t>BAF-50658008</t>
  </si>
  <si>
    <t>MCB-00203476</t>
  </si>
  <si>
    <t>UBL-84462318</t>
  </si>
  <si>
    <t>BI-0020692</t>
  </si>
  <si>
    <t>MB-A24079069</t>
  </si>
  <si>
    <t>BAH-11647303</t>
  </si>
  <si>
    <t xml:space="preserve">Area </t>
  </si>
  <si>
    <t>Contact Number</t>
  </si>
  <si>
    <t>Cheque no 186122490</t>
  </si>
  <si>
    <t>MB-A19464360</t>
  </si>
  <si>
    <t>BAH-10221893</t>
  </si>
  <si>
    <t>FB-CA00001783</t>
  </si>
  <si>
    <t>BI-00201713</t>
  </si>
  <si>
    <t>SB-05602075</t>
  </si>
  <si>
    <t>HBL-0000165</t>
  </si>
  <si>
    <t>HBL-0000179</t>
  </si>
  <si>
    <t>HBL-0000180</t>
  </si>
  <si>
    <t>Target</t>
  </si>
  <si>
    <t>ACH</t>
  </si>
  <si>
    <t>cd-436</t>
  </si>
  <si>
    <t>Faheem trader-5580</t>
  </si>
  <si>
    <t>FM Marketing-5590</t>
  </si>
  <si>
    <t>A.Wahab-5350</t>
  </si>
  <si>
    <t>HM-185933659</t>
  </si>
  <si>
    <t>HM-185933660</t>
  </si>
  <si>
    <t>HM-185933661</t>
  </si>
  <si>
    <t>HM-185933662</t>
  </si>
  <si>
    <t>Hasnain-4990</t>
  </si>
  <si>
    <t>HM-186724307</t>
  </si>
  <si>
    <t>HM-186724308</t>
  </si>
  <si>
    <t>Hasnain-4680</t>
  </si>
  <si>
    <t>Tawakal-4950</t>
  </si>
  <si>
    <t>BML-97671256</t>
  </si>
  <si>
    <t>BML-97671255</t>
  </si>
  <si>
    <t>BML-97671254</t>
  </si>
  <si>
    <t>M Habib</t>
  </si>
  <si>
    <t xml:space="preserve">Lucky pan </t>
  </si>
  <si>
    <t>B-5816</t>
  </si>
  <si>
    <t>B-5411</t>
  </si>
  <si>
    <t>B-6893</t>
  </si>
  <si>
    <t>Adjust sep</t>
  </si>
  <si>
    <t>Adjustment sep</t>
  </si>
  <si>
    <t>Popular</t>
  </si>
  <si>
    <t xml:space="preserve">Naimal </t>
  </si>
  <si>
    <t>UBL-78209052</t>
  </si>
  <si>
    <t>BAH-11406797</t>
  </si>
  <si>
    <t>MB-A30191250</t>
  </si>
  <si>
    <t>MCB-2002663315</t>
  </si>
  <si>
    <t>RY Traders-</t>
  </si>
  <si>
    <t>BAH-10083209</t>
  </si>
  <si>
    <t>FM Marketing-3220</t>
  </si>
  <si>
    <t>UBL-86824267</t>
  </si>
  <si>
    <t>BAH-11960183</t>
  </si>
  <si>
    <t>BAH-10151947</t>
  </si>
  <si>
    <t>Irfan conf-5500</t>
  </si>
  <si>
    <t>BAH-10887599</t>
  </si>
  <si>
    <t>MB-A23710807</t>
  </si>
  <si>
    <t>HM-186814017</t>
  </si>
  <si>
    <t>BAH-11449615</t>
  </si>
  <si>
    <t>MB-A28819808</t>
  </si>
  <si>
    <t>BAH-11647316</t>
  </si>
  <si>
    <t>43230</t>
  </si>
  <si>
    <t>Huzaifa conf</t>
  </si>
  <si>
    <t>5690</t>
  </si>
  <si>
    <t>5710</t>
  </si>
  <si>
    <t>5680</t>
  </si>
  <si>
    <t>SalamAllha</t>
  </si>
  <si>
    <t>BAF-26615301</t>
  </si>
  <si>
    <t>5700</t>
  </si>
  <si>
    <t>5670</t>
  </si>
  <si>
    <t>Cheque no 186122491</t>
  </si>
  <si>
    <t>Cheque no 186122492</t>
  </si>
  <si>
    <t xml:space="preserve">Sinan Conf </t>
  </si>
  <si>
    <t>Madina Conf</t>
  </si>
  <si>
    <t>Nasir &amp; Sons</t>
  </si>
  <si>
    <t>Bismillah Conf (Amir Sheikh)</t>
  </si>
  <si>
    <t xml:space="preserve">Saeed Cig </t>
  </si>
  <si>
    <t xml:space="preserve">Shazad Conf </t>
  </si>
  <si>
    <t>Majid conf</t>
  </si>
  <si>
    <t>Ashraf Conf</t>
  </si>
  <si>
    <t>Amila Traders</t>
  </si>
  <si>
    <t>Dhobi Conf</t>
  </si>
  <si>
    <t>Mavia Conf</t>
  </si>
  <si>
    <t>Panjwani Conf</t>
  </si>
  <si>
    <t>Khan Conf</t>
  </si>
  <si>
    <t>Nadeem Store</t>
  </si>
  <si>
    <t>BS shehzad</t>
  </si>
  <si>
    <t>Mashallah Majid</t>
  </si>
  <si>
    <t>Baqala Conf</t>
  </si>
  <si>
    <t>Bismillah (Amir Sheikh)</t>
  </si>
  <si>
    <t>Abdul Wahab</t>
  </si>
  <si>
    <t>Asif conf (PMJ)</t>
  </si>
  <si>
    <t>BI00042620</t>
  </si>
  <si>
    <t>MCB-2063022312</t>
  </si>
  <si>
    <t>MB-A13619470</t>
  </si>
  <si>
    <t>Ahmed $ sons</t>
  </si>
  <si>
    <t>MB-A27489382</t>
  </si>
  <si>
    <t>MB-A30506137</t>
  </si>
  <si>
    <t>AB-2506702779</t>
  </si>
  <si>
    <t>BI-000201719</t>
  </si>
  <si>
    <t>44150</t>
  </si>
  <si>
    <t>PMJ Siraj</t>
  </si>
  <si>
    <t>3210/3240</t>
  </si>
  <si>
    <t>Mid way/Noor Harbal</t>
  </si>
  <si>
    <t>Cheque no 186122493</t>
  </si>
  <si>
    <t>White smoke</t>
  </si>
  <si>
    <t xml:space="preserve">Mashallah </t>
  </si>
  <si>
    <t>Rehmat B</t>
  </si>
  <si>
    <t>Bismillah Amir Sheik</t>
  </si>
  <si>
    <t>MaShahallah (Rahim)</t>
  </si>
  <si>
    <t>(FOC)</t>
  </si>
  <si>
    <t xml:space="preserve">Pak dry </t>
  </si>
  <si>
    <t>BAF-50658016</t>
  </si>
  <si>
    <t>UBL-82440377</t>
  </si>
  <si>
    <t>44610</t>
  </si>
  <si>
    <t>issue</t>
  </si>
  <si>
    <t>BAH-10151948</t>
  </si>
  <si>
    <t>Abdul-Rehman</t>
  </si>
  <si>
    <t>BAL-10420378</t>
  </si>
  <si>
    <t>43690</t>
  </si>
  <si>
    <t>BAH-10887594</t>
  </si>
  <si>
    <t xml:space="preserve">CD </t>
  </si>
  <si>
    <t>Cheque no 186122494</t>
  </si>
  <si>
    <t>BML-97662930</t>
  </si>
  <si>
    <t>Siraj bhai-4530</t>
  </si>
  <si>
    <t>BAF-48241666</t>
  </si>
  <si>
    <t>MB-A24079071</t>
  </si>
  <si>
    <t>MB-A80668926</t>
  </si>
  <si>
    <t>Hamad Noor</t>
  </si>
  <si>
    <t>MB-A28819820</t>
  </si>
  <si>
    <t>BAH-11449618</t>
  </si>
  <si>
    <t>M-pan</t>
  </si>
  <si>
    <t>13-11-2025</t>
  </si>
  <si>
    <t>Cheque no 186122495</t>
  </si>
  <si>
    <t>MB-A30506164</t>
  </si>
  <si>
    <t>HM-186724314</t>
  </si>
  <si>
    <t>Ismail conf-5370/5640</t>
  </si>
  <si>
    <t>CD-3834</t>
  </si>
  <si>
    <t>CD-1510</t>
  </si>
  <si>
    <t>BAH-10303151</t>
  </si>
  <si>
    <t>BAH-10303152</t>
  </si>
  <si>
    <t>SB-05602076</t>
  </si>
  <si>
    <t>BI-00042626</t>
  </si>
  <si>
    <t>Ahemd mini mart</t>
  </si>
  <si>
    <t>MB-A19464364</t>
  </si>
  <si>
    <t>BAH-10302775</t>
  </si>
  <si>
    <t>BML-97671258</t>
  </si>
  <si>
    <t>BML-97671259</t>
  </si>
  <si>
    <t>MB-A28962920</t>
  </si>
  <si>
    <t>BI-00201725</t>
  </si>
  <si>
    <t>MB-A28398638</t>
  </si>
  <si>
    <t>MB-A23710803</t>
  </si>
  <si>
    <t>Faheem conf- 5820</t>
  </si>
  <si>
    <t>BML-97669184</t>
  </si>
  <si>
    <t>CD-809</t>
  </si>
  <si>
    <t>Bill Date</t>
  </si>
  <si>
    <t>Cheq Date</t>
  </si>
  <si>
    <t>No. of Days</t>
  </si>
  <si>
    <t>Balance</t>
  </si>
  <si>
    <t>Tawakal Conf- 4950</t>
  </si>
  <si>
    <t>Tawakal Conf- 5330</t>
  </si>
  <si>
    <t xml:space="preserve">Yameen </t>
  </si>
  <si>
    <t>MS farooq Pan</t>
  </si>
  <si>
    <t>Dastageer Conf</t>
  </si>
  <si>
    <t>Cheque no 186122496</t>
  </si>
  <si>
    <t>New selani</t>
  </si>
  <si>
    <t>45850</t>
  </si>
  <si>
    <t>BAH-10304307</t>
  </si>
  <si>
    <t>BAF-50658021</t>
  </si>
  <si>
    <t>Amir Saleem</t>
  </si>
  <si>
    <t>BAH-11960189</t>
  </si>
  <si>
    <t>14-11-2025</t>
  </si>
  <si>
    <t>MB-E43483508</t>
  </si>
  <si>
    <t>MB-A99949581</t>
  </si>
  <si>
    <t>BAH-1042395</t>
  </si>
  <si>
    <t>Prime Madicos</t>
  </si>
  <si>
    <t>Hadid/Asif</t>
  </si>
  <si>
    <t>45420</t>
  </si>
  <si>
    <t>MB-A31003118</t>
  </si>
  <si>
    <t>BAF-50658018</t>
  </si>
  <si>
    <t>MB-A31003119</t>
  </si>
  <si>
    <t>MB-A28819825</t>
  </si>
  <si>
    <t>BAH-11449625</t>
  </si>
  <si>
    <t>UBL-84462321</t>
  </si>
  <si>
    <t>MB-A28543932</t>
  </si>
  <si>
    <t>MB-A25543931</t>
  </si>
  <si>
    <t>Sajid Pan</t>
  </si>
  <si>
    <t>FM Marketing</t>
  </si>
  <si>
    <t>Javaid and Sons</t>
  </si>
  <si>
    <t>BA-48241668</t>
  </si>
  <si>
    <t>Umair gs</t>
  </si>
  <si>
    <t>Panjwani Conf-6070</t>
  </si>
  <si>
    <t>MB-D65205053</t>
  </si>
  <si>
    <t>BAH-10303508</t>
  </si>
  <si>
    <t>BAH-10303490</t>
  </si>
  <si>
    <t>HM-186469446</t>
  </si>
  <si>
    <t>HM-186469445</t>
  </si>
  <si>
    <t>Cheque no 186122497</t>
  </si>
  <si>
    <t>HBL-0000462</t>
  </si>
  <si>
    <t>golden Vip</t>
  </si>
  <si>
    <t>Zikariya Conf-5630</t>
  </si>
  <si>
    <t>BAH-10303512</t>
  </si>
  <si>
    <t>UBL-86826388</t>
  </si>
  <si>
    <t>MB-A30617176</t>
  </si>
  <si>
    <t>MB-A28398640</t>
  </si>
  <si>
    <t>Umair &amp; Abid</t>
  </si>
  <si>
    <t>BI-00042634</t>
  </si>
  <si>
    <t>46690</t>
  </si>
  <si>
    <t>46640</t>
  </si>
  <si>
    <t>BAF-47250974</t>
  </si>
  <si>
    <t>17-11-20205</t>
  </si>
  <si>
    <t>M.Store</t>
  </si>
  <si>
    <t>64110</t>
  </si>
  <si>
    <t>MB-A30506197</t>
  </si>
  <si>
    <t>MB-A30911546</t>
  </si>
  <si>
    <t>Khan conf-6090</t>
  </si>
  <si>
    <t>Cheque no 186122498</t>
  </si>
  <si>
    <t xml:space="preserve"> </t>
  </si>
  <si>
    <t>BAF-50658026</t>
  </si>
  <si>
    <t>BAH-1030312</t>
  </si>
  <si>
    <t>Amir Store</t>
  </si>
  <si>
    <t>Asger GS</t>
  </si>
  <si>
    <t>47310</t>
  </si>
  <si>
    <t>UBL-82543881</t>
  </si>
  <si>
    <t>MB-A19589907</t>
  </si>
  <si>
    <t>MB-A28543941</t>
  </si>
  <si>
    <t>18-11-2025</t>
  </si>
  <si>
    <t>HM-187029115</t>
  </si>
  <si>
    <t>UBL-82543880</t>
  </si>
  <si>
    <t xml:space="preserve">Al Makkah </t>
  </si>
  <si>
    <t>Munna bhai</t>
  </si>
  <si>
    <t>Cheque no 186122499</t>
  </si>
  <si>
    <t>19-11-2025</t>
  </si>
  <si>
    <t>BAH-11450368</t>
  </si>
  <si>
    <t>UBL-84462324</t>
  </si>
  <si>
    <t>MB-A28819833</t>
  </si>
  <si>
    <t>Al raheman store</t>
  </si>
  <si>
    <t>MB-A31003124</t>
  </si>
  <si>
    <t>BAH-10305263</t>
  </si>
  <si>
    <t>MB-A30911548</t>
  </si>
  <si>
    <t>Cheque no 186122500</t>
  </si>
  <si>
    <t>20-11-2025</t>
  </si>
  <si>
    <t>MB-A19464365</t>
  </si>
  <si>
    <t>46910</t>
  </si>
  <si>
    <t>AB-2506702818</t>
  </si>
  <si>
    <t>MB-A30617179</t>
  </si>
  <si>
    <t>CA-000001810</t>
  </si>
  <si>
    <t>MB-A28398641</t>
  </si>
  <si>
    <t>MB-A30998666</t>
  </si>
  <si>
    <t>MB-A30506209</t>
  </si>
  <si>
    <t>Umaie store</t>
  </si>
  <si>
    <t>Mashahallah store</t>
  </si>
  <si>
    <t>MB-A23202198</t>
  </si>
  <si>
    <t>RY taaders</t>
  </si>
  <si>
    <t>BAH-10083218</t>
  </si>
  <si>
    <t>BAH-10302780</t>
  </si>
  <si>
    <t>Husnaan</t>
  </si>
  <si>
    <t>HM-186723419</t>
  </si>
  <si>
    <t>RY Trader</t>
  </si>
  <si>
    <t>Yameen up</t>
  </si>
  <si>
    <t>Faheem traders</t>
  </si>
  <si>
    <t>BML-97669205</t>
  </si>
  <si>
    <t>HBL-0000188</t>
  </si>
  <si>
    <t>HBL-0000187</t>
  </si>
  <si>
    <t>BI-00254703</t>
  </si>
  <si>
    <t>HM-178717789</t>
  </si>
  <si>
    <t>Tawakal-4950/5330</t>
  </si>
  <si>
    <t>Tawakal-5330</t>
  </si>
  <si>
    <t>BML-97671261</t>
  </si>
  <si>
    <t>BML-97671262</t>
  </si>
  <si>
    <t>BML-97671263</t>
  </si>
  <si>
    <t>BML-97671264</t>
  </si>
  <si>
    <t>Cheque no 186122501</t>
  </si>
  <si>
    <t>Cheque no 186122502</t>
  </si>
  <si>
    <t>Tawwakl Con</t>
  </si>
  <si>
    <t>Zikeria con</t>
  </si>
  <si>
    <t>Shahid con</t>
  </si>
  <si>
    <t>Naimal Family</t>
  </si>
  <si>
    <t>47150</t>
  </si>
  <si>
    <t>UBL-82440381</t>
  </si>
  <si>
    <t>21-11-2025</t>
  </si>
  <si>
    <t>MB-A99949587</t>
  </si>
  <si>
    <t>HBL-0000474</t>
  </si>
  <si>
    <t>New hassan</t>
  </si>
  <si>
    <t>BAH-10893315</t>
  </si>
  <si>
    <t>MB-A24079075</t>
  </si>
  <si>
    <t>MB-A28819838</t>
  </si>
  <si>
    <t>UBL-84462325</t>
  </si>
  <si>
    <t>MB-A31003129</t>
  </si>
  <si>
    <t>Samiullahb B</t>
  </si>
  <si>
    <t>BAF-26615311</t>
  </si>
  <si>
    <t>47670</t>
  </si>
  <si>
    <t>Cheque no 186122503</t>
  </si>
  <si>
    <t>MCB-00204155</t>
  </si>
  <si>
    <t>MCB-2063022333</t>
  </si>
  <si>
    <t xml:space="preserve">Noor store </t>
  </si>
  <si>
    <t>Al noor B</t>
  </si>
  <si>
    <t>49060</t>
  </si>
  <si>
    <t>49220</t>
  </si>
  <si>
    <t>24-11-2025</t>
  </si>
  <si>
    <t>M. Majid</t>
  </si>
  <si>
    <t>New shop</t>
  </si>
  <si>
    <t>imran sweets</t>
  </si>
  <si>
    <t>64100</t>
  </si>
  <si>
    <t>MB-A30506224</t>
  </si>
  <si>
    <t>BAH-11649904</t>
  </si>
  <si>
    <t>SB-05602077</t>
  </si>
  <si>
    <t>MB-A30506225</t>
  </si>
  <si>
    <t>ZA mart</t>
  </si>
  <si>
    <t>BI-00204434</t>
  </si>
  <si>
    <t>FB-CA00001815</t>
  </si>
  <si>
    <t>UBL-86826411</t>
  </si>
  <si>
    <t>Shahid &amp; Bilal</t>
  </si>
  <si>
    <t>Cheque no 186122504</t>
  </si>
  <si>
    <t>W/S</t>
  </si>
  <si>
    <t>Star conf (PMJ)</t>
  </si>
  <si>
    <t>49470</t>
  </si>
  <si>
    <t>MCB-2002663317</t>
  </si>
  <si>
    <t>BAF-50568031</t>
  </si>
  <si>
    <t>Pak dry</t>
  </si>
  <si>
    <t>Primer gs</t>
  </si>
  <si>
    <t>UBL-82543883</t>
  </si>
  <si>
    <t>BAH-10423124</t>
  </si>
  <si>
    <t>MB-A99949590</t>
  </si>
  <si>
    <t>MB-A23202199</t>
  </si>
  <si>
    <t>Qadeer medical</t>
  </si>
  <si>
    <t>25-11-2025</t>
  </si>
  <si>
    <t>BAH-11649913</t>
  </si>
  <si>
    <t>BML-97669212</t>
  </si>
  <si>
    <t>Cheque no 186122509</t>
  </si>
  <si>
    <t>BAF-48241670</t>
  </si>
  <si>
    <t>BAF-51700230</t>
  </si>
  <si>
    <t>BAH-11649914</t>
  </si>
  <si>
    <t>50080</t>
  </si>
  <si>
    <t>CPR Oct 2025</t>
  </si>
  <si>
    <t>TO Oct-2025</t>
  </si>
  <si>
    <t>Dattri gs</t>
  </si>
  <si>
    <t>received</t>
  </si>
  <si>
    <t>rec 33000 b 300</t>
  </si>
  <si>
    <t>rec 20400 b 13000</t>
  </si>
  <si>
    <t>26-11-2025</t>
  </si>
  <si>
    <t>BAH-11452812</t>
  </si>
  <si>
    <t>MB-A28819843</t>
  </si>
  <si>
    <t>UBL-88451504</t>
  </si>
  <si>
    <t>Cheque no 186122510</t>
  </si>
  <si>
    <t>RT Sch on 1500/bil Jul-25</t>
  </si>
  <si>
    <t>RT Sch on 1500/bil Aug-25</t>
  </si>
  <si>
    <t>2% off on Gross Value on All Bubbles (Except Paan Dum) on purchase 1 Box &amp; above-bill S&amp;D RT 20 to 30-Sep-2025</t>
  </si>
  <si>
    <t>2% off on Gross Value on Rs.5 Bubble Pop on purchase 2 Ctn &amp; above-bill S&amp;D WS Sep-2025</t>
  </si>
  <si>
    <t>3% off on Gross Value on Rs.5 Butter Scotch on purchase 3 Jars &amp; above-bill S&amp;D RT Sep-2025</t>
  </si>
  <si>
    <t>4% off on Gross Value on Rs.5 Éclair Box on purchase 2 Ctn &amp; above-bill S&amp;D WS Sep-2025</t>
  </si>
  <si>
    <t>5% off on Gross Value on Rs.5 Butter Scotch on purchase 5 Ctn &amp; above-bill S&amp;D WS Sep-2025</t>
  </si>
  <si>
    <t>Ooze Rs.5 Smpling Jul to Aug-25</t>
  </si>
  <si>
    <t>RT Sch on 1500/bil Sep-25</t>
  </si>
  <si>
    <t>Distributor Target Incentive OCT-25</t>
  </si>
  <si>
    <t>WS Additional Scheme 1% off Sep-2025</t>
  </si>
  <si>
    <t>Wholesale Scheme 2% &amp; 1.50% Off S&amp;D Town Distributor Claim Amount Sep-2025</t>
  </si>
  <si>
    <t>MB-A30506235</t>
  </si>
  <si>
    <t>UBL-88770283</t>
  </si>
  <si>
    <t>M-Hadi</t>
  </si>
  <si>
    <t>BI-00204445</t>
  </si>
  <si>
    <t>MB-A30617184</t>
  </si>
  <si>
    <t>27-11-2025</t>
  </si>
  <si>
    <t>BAH-10303155</t>
  </si>
  <si>
    <t>Ismail conf-5980</t>
  </si>
  <si>
    <t>Ismail conf-6320</t>
  </si>
  <si>
    <t>BAH-10303156</t>
  </si>
  <si>
    <t>B.Amir shaikh</t>
  </si>
  <si>
    <t>HM-185933663</t>
  </si>
  <si>
    <t>HBL-000190</t>
  </si>
  <si>
    <t>HBL-000189</t>
  </si>
  <si>
    <t>BML-97669218</t>
  </si>
  <si>
    <t>FM Marketing-6510</t>
  </si>
  <si>
    <t>MB-A13619479</t>
  </si>
  <si>
    <t>28-11-2025</t>
  </si>
  <si>
    <t>Cheque no 186122511</t>
  </si>
  <si>
    <t>BAH-11960200</t>
  </si>
  <si>
    <t>BAH-10305256</t>
  </si>
  <si>
    <t>Atari GS</t>
  </si>
  <si>
    <t>Zikariya conf-6310</t>
  </si>
  <si>
    <t>BAH-10306700</t>
  </si>
  <si>
    <t>BAH-10306701</t>
  </si>
  <si>
    <t>HBL-0000191</t>
  </si>
  <si>
    <t>MB-A20392702</t>
  </si>
  <si>
    <t>BAH-10423146</t>
  </si>
  <si>
    <t>MB-A23202200</t>
  </si>
  <si>
    <t>Prime Medical</t>
  </si>
  <si>
    <t>BI-00244026</t>
  </si>
  <si>
    <t>Shahzad</t>
  </si>
  <si>
    <t>9410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</si>
</sst>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5" formatCode="[$-409]dd\-mmm\-yy;@"/>
    <numFmt numFmtId="166" formatCode="[$-409]d\-mmm\-yy;@"/>
  </numFmts>
  <fonts count="1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45">
    <xf numFmtId="0" fontId="0" fillId="0" borderId="0" xfId="0"/>
    <xf numFmtId="49" fontId="0" fillId="0" borderId="0" xfId="0" applyNumberForma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/>
    <xf numFmtId="3" fontId="2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0" fontId="0" fillId="0" borderId="1" xfId="0" applyBorder="1"/>
    <xf numFmtId="3" fontId="5" fillId="0" borderId="1" xfId="0" applyNumberFormat="1" applyFont="1" applyBorder="1"/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3" fontId="1" fillId="2" borderId="1" xfId="0" applyNumberFormat="1" applyFont="1" applyFill="1" applyBorder="1"/>
    <xf numFmtId="3" fontId="2" fillId="2" borderId="1" xfId="0" applyNumberFormat="1" applyFont="1" applyFill="1" applyBorder="1"/>
    <xf numFmtId="0" fontId="0" fillId="0" borderId="0" xfId="0" applyFont="1" applyAlignment="1">
      <alignment vertical="center"/>
    </xf>
    <xf numFmtId="0" fontId="0" fillId="3" borderId="0" xfId="0" applyFill="1"/>
    <xf numFmtId="0" fontId="0" fillId="0" borderId="1" xfId="0" applyFill="1" applyBorder="1"/>
    <xf numFmtId="15" fontId="0" fillId="0" borderId="1" xfId="0" applyNumberFormat="1" applyFill="1" applyBorder="1"/>
    <xf numFmtId="49" fontId="0" fillId="0" borderId="1" xfId="0" applyNumberFormat="1" applyBorder="1"/>
    <xf numFmtId="49" fontId="0" fillId="0" borderId="0" xfId="0" applyNumberFormat="1"/>
    <xf numFmtId="0" fontId="2" fillId="2" borderId="1" xfId="0" applyFont="1" applyFill="1" applyBorder="1"/>
    <xf numFmtId="3" fontId="5" fillId="4" borderId="1" xfId="0" applyNumberFormat="1" applyFont="1" applyFill="1" applyBorder="1"/>
    <xf numFmtId="0" fontId="5" fillId="4" borderId="1" xfId="0" applyFont="1" applyFill="1" applyBorder="1"/>
    <xf numFmtId="0" fontId="1" fillId="0" borderId="8" xfId="0" applyFont="1" applyBorder="1" applyAlignment="1">
      <alignment horizontal="center"/>
    </xf>
    <xf numFmtId="3" fontId="0" fillId="0" borderId="1" xfId="0" applyNumberFormat="1" applyBorder="1"/>
    <xf numFmtId="0" fontId="0" fillId="5" borderId="1" xfId="0" applyFill="1" applyBorder="1"/>
    <xf numFmtId="0" fontId="0" fillId="8" borderId="1" xfId="0" applyFill="1" applyBorder="1"/>
    <xf numFmtId="49" fontId="0" fillId="8" borderId="1" xfId="0" applyNumberFormat="1" applyFill="1" applyBorder="1"/>
    <xf numFmtId="15" fontId="0" fillId="8" borderId="1" xfId="0" applyNumberFormat="1" applyFill="1" applyBorder="1"/>
    <xf numFmtId="1" fontId="0" fillId="8" borderId="1" xfId="0" applyNumberFormat="1" applyFill="1" applyBorder="1"/>
    <xf numFmtId="0" fontId="0" fillId="8" borderId="0" xfId="0" applyFill="1"/>
    <xf numFmtId="0" fontId="7" fillId="6" borderId="1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0" fillId="5" borderId="0" xfId="0" applyFill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1" fillId="0" borderId="8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15" fontId="0" fillId="8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left"/>
    </xf>
    <xf numFmtId="49" fontId="0" fillId="8" borderId="1" xfId="0" applyNumberFormat="1" applyFill="1" applyBorder="1" applyAlignment="1">
      <alignment horizontal="left"/>
    </xf>
    <xf numFmtId="0" fontId="7" fillId="6" borderId="14" xfId="0" applyFont="1" applyFill="1" applyBorder="1" applyAlignment="1">
      <alignment horizontal="center" vertical="center"/>
    </xf>
    <xf numFmtId="49" fontId="7" fillId="6" borderId="14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3" fontId="0" fillId="0" borderId="1" xfId="0" applyNumberFormat="1" applyFill="1" applyBorder="1"/>
    <xf numFmtId="0" fontId="0" fillId="0" borderId="0" xfId="0" applyAlignment="1">
      <alignment horizontal="right"/>
    </xf>
    <xf numFmtId="0" fontId="0" fillId="3" borderId="1" xfId="0" applyFill="1" applyBorder="1"/>
    <xf numFmtId="15" fontId="0" fillId="3" borderId="1" xfId="0" applyNumberFormat="1" applyFill="1" applyBorder="1"/>
    <xf numFmtId="1" fontId="0" fillId="8" borderId="1" xfId="0" applyNumberFormat="1" applyFill="1" applyBorder="1" applyAlignment="1">
      <alignment horizontal="right"/>
    </xf>
    <xf numFmtId="0" fontId="7" fillId="7" borderId="0" xfId="0" applyFont="1" applyFill="1" applyBorder="1" applyAlignment="1">
      <alignment horizontal="center" vertical="center"/>
    </xf>
    <xf numFmtId="0" fontId="7" fillId="6" borderId="0" xfId="0" applyFont="1" applyFill="1"/>
    <xf numFmtId="0" fontId="5" fillId="0" borderId="0" xfId="0" applyFont="1"/>
    <xf numFmtId="9" fontId="0" fillId="0" borderId="0" xfId="2" applyFont="1" applyAlignment="1">
      <alignment horizontal="center"/>
    </xf>
    <xf numFmtId="0" fontId="5" fillId="9" borderId="0" xfId="0" applyFont="1" applyFill="1" applyAlignment="1">
      <alignment horizontal="center"/>
    </xf>
    <xf numFmtId="15" fontId="0" fillId="5" borderId="1" xfId="0" applyNumberFormat="1" applyFill="1" applyBorder="1"/>
    <xf numFmtId="0" fontId="1" fillId="0" borderId="8" xfId="0" applyFont="1" applyBorder="1" applyAlignment="1">
      <alignment horizontal="center"/>
    </xf>
    <xf numFmtId="15" fontId="0" fillId="8" borderId="1" xfId="0" applyNumberFormat="1" applyFill="1" applyBorder="1" applyAlignment="1">
      <alignment horizontal="right"/>
    </xf>
    <xf numFmtId="14" fontId="0" fillId="8" borderId="1" xfId="0" applyNumberFormat="1" applyFill="1" applyBorder="1" applyAlignment="1">
      <alignment horizontal="right"/>
    </xf>
    <xf numFmtId="3" fontId="0" fillId="8" borderId="1" xfId="0" applyNumberFormat="1" applyFill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1" fontId="0" fillId="5" borderId="1" xfId="0" applyNumberFormat="1" applyFill="1" applyBorder="1"/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49" fontId="2" fillId="5" borderId="8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0" fontId="1" fillId="5" borderId="1" xfId="0" applyFont="1" applyFill="1" applyBorder="1"/>
    <xf numFmtId="3" fontId="2" fillId="5" borderId="1" xfId="0" applyNumberFormat="1" applyFont="1" applyFill="1" applyBorder="1"/>
    <xf numFmtId="0" fontId="2" fillId="0" borderId="1" xfId="0" applyFont="1" applyBorder="1"/>
    <xf numFmtId="165" fontId="2" fillId="2" borderId="1" xfId="0" applyNumberFormat="1" applyFont="1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1" applyNumberFormat="1" applyFont="1"/>
    <xf numFmtId="0" fontId="1" fillId="0" borderId="8" xfId="0" applyFont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15" fontId="0" fillId="10" borderId="1" xfId="0" applyNumberFormat="1" applyFill="1" applyBorder="1"/>
    <xf numFmtId="3" fontId="0" fillId="10" borderId="1" xfId="0" applyNumberFormat="1" applyFill="1" applyBorder="1"/>
    <xf numFmtId="49" fontId="0" fillId="3" borderId="1" xfId="0" applyNumberFormat="1" applyFill="1" applyBorder="1"/>
    <xf numFmtId="1" fontId="0" fillId="3" borderId="1" xfId="0" applyNumberFormat="1" applyFill="1" applyBorder="1"/>
    <xf numFmtId="0" fontId="1" fillId="0" borderId="8" xfId="0" applyFont="1" applyBorder="1" applyAlignment="1">
      <alignment horizontal="center"/>
    </xf>
    <xf numFmtId="49" fontId="0" fillId="10" borderId="1" xfId="0" applyNumberFormat="1" applyFill="1" applyBorder="1"/>
    <xf numFmtId="1" fontId="0" fillId="10" borderId="1" xfId="0" applyNumberFormat="1" applyFill="1" applyBorder="1"/>
    <xf numFmtId="1" fontId="0" fillId="0" borderId="1" xfId="0" applyNumberFormat="1" applyFill="1" applyBorder="1"/>
    <xf numFmtId="164" fontId="0" fillId="8" borderId="1" xfId="1" applyNumberFormat="1" applyFont="1" applyFill="1" applyBorder="1"/>
    <xf numFmtId="0" fontId="1" fillId="0" borderId="8" xfId="0" applyFont="1" applyBorder="1" applyAlignment="1">
      <alignment horizontal="center"/>
    </xf>
    <xf numFmtId="164" fontId="0" fillId="8" borderId="1" xfId="0" applyNumberFormat="1" applyFill="1" applyBorder="1"/>
    <xf numFmtId="3" fontId="0" fillId="5" borderId="1" xfId="0" applyNumberFormat="1" applyFill="1" applyBorder="1"/>
    <xf numFmtId="164" fontId="0" fillId="5" borderId="1" xfId="1" applyNumberFormat="1" applyFont="1" applyFill="1" applyBorder="1"/>
    <xf numFmtId="0" fontId="1" fillId="0" borderId="8" xfId="0" applyFont="1" applyBorder="1" applyAlignment="1">
      <alignment horizontal="center"/>
    </xf>
    <xf numFmtId="164" fontId="0" fillId="3" borderId="1" xfId="1" applyNumberFormat="1" applyFont="1" applyFill="1" applyBorder="1"/>
    <xf numFmtId="164" fontId="0" fillId="0" borderId="1" xfId="1" applyNumberFormat="1" applyFont="1" applyBorder="1"/>
    <xf numFmtId="164" fontId="0" fillId="3" borderId="0" xfId="1" applyNumberFormat="1" applyFont="1" applyFill="1"/>
    <xf numFmtId="0" fontId="1" fillId="0" borderId="8" xfId="0" applyFont="1" applyBorder="1" applyAlignment="1">
      <alignment horizontal="center"/>
    </xf>
    <xf numFmtId="15" fontId="0" fillId="10" borderId="1" xfId="0" applyNumberFormat="1" applyFill="1" applyBorder="1" applyAlignment="1">
      <alignment horizontal="left"/>
    </xf>
    <xf numFmtId="14" fontId="0" fillId="8" borderId="1" xfId="0" applyNumberFormat="1" applyFill="1" applyBorder="1" applyAlignment="1">
      <alignment horizontal="left"/>
    </xf>
    <xf numFmtId="1" fontId="0" fillId="5" borderId="1" xfId="0" applyNumberFormat="1" applyFill="1" applyBorder="1" applyAlignment="1">
      <alignment horizontal="left"/>
    </xf>
    <xf numFmtId="1" fontId="0" fillId="8" borderId="1" xfId="0" applyNumberFormat="1" applyFill="1" applyBorder="1" applyAlignment="1">
      <alignment horizontal="left"/>
    </xf>
    <xf numFmtId="0" fontId="7" fillId="6" borderId="14" xfId="0" applyFont="1" applyFill="1" applyBorder="1" applyAlignment="1">
      <alignment horizontal="left" vertical="center"/>
    </xf>
    <xf numFmtId="15" fontId="0" fillId="8" borderId="1" xfId="0" applyNumberFormat="1" applyFill="1" applyBorder="1" applyAlignment="1">
      <alignment horizontal="left"/>
    </xf>
    <xf numFmtId="15" fontId="0" fillId="3" borderId="1" xfId="0" applyNumberFormat="1" applyFill="1" applyBorder="1" applyAlignment="1">
      <alignment horizontal="left"/>
    </xf>
    <xf numFmtId="15" fontId="0" fillId="5" borderId="1" xfId="0" applyNumberFormat="1" applyFill="1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0" fillId="8" borderId="8" xfId="0" applyFill="1" applyBorder="1"/>
    <xf numFmtId="3" fontId="0" fillId="8" borderId="8" xfId="0" applyNumberFormat="1" applyFill="1" applyBorder="1"/>
    <xf numFmtId="9" fontId="0" fillId="5" borderId="0" xfId="2" applyFont="1" applyFill="1" applyAlignment="1">
      <alignment horizontal="center"/>
    </xf>
    <xf numFmtId="0" fontId="0" fillId="3" borderId="14" xfId="0" applyFill="1" applyBorder="1"/>
    <xf numFmtId="49" fontId="0" fillId="3" borderId="14" xfId="0" applyNumberFormat="1" applyFill="1" applyBorder="1"/>
    <xf numFmtId="15" fontId="0" fillId="3" borderId="14" xfId="0" applyNumberFormat="1" applyFill="1" applyBorder="1" applyAlignment="1">
      <alignment horizontal="left"/>
    </xf>
    <xf numFmtId="1" fontId="0" fillId="3" borderId="14" xfId="0" applyNumberFormat="1" applyFill="1" applyBorder="1"/>
    <xf numFmtId="3" fontId="0" fillId="0" borderId="1" xfId="1" applyNumberFormat="1" applyFont="1" applyBorder="1"/>
    <xf numFmtId="15" fontId="0" fillId="0" borderId="1" xfId="0" applyNumberForma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164" fontId="0" fillId="8" borderId="1" xfId="1" applyNumberFormat="1" applyFont="1" applyFill="1" applyBorder="1" applyAlignment="1">
      <alignment horizontal="right"/>
    </xf>
    <xf numFmtId="3" fontId="0" fillId="10" borderId="8" xfId="0" applyNumberFormat="1" applyFill="1" applyBorder="1"/>
    <xf numFmtId="9" fontId="0" fillId="5" borderId="0" xfId="2" applyFont="1" applyFill="1" applyBorder="1" applyAlignment="1">
      <alignment horizontal="center"/>
    </xf>
    <xf numFmtId="9" fontId="0" fillId="5" borderId="0" xfId="0" applyNumberFormat="1" applyFill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6" borderId="14" xfId="0" applyFont="1" applyFill="1" applyBorder="1" applyAlignment="1">
      <alignment horizontal="right"/>
    </xf>
    <xf numFmtId="0" fontId="0" fillId="5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Alignment="1">
      <alignment horizontal="center"/>
    </xf>
    <xf numFmtId="9" fontId="0" fillId="5" borderId="0" xfId="0" applyNumberFormat="1" applyFill="1" applyAlignment="1">
      <alignment horizontal="center"/>
    </xf>
    <xf numFmtId="3" fontId="0" fillId="5" borderId="0" xfId="0" applyNumberFormat="1" applyFill="1" applyBorder="1" applyAlignment="1">
      <alignment horizontal="center"/>
    </xf>
    <xf numFmtId="9" fontId="0" fillId="0" borderId="0" xfId="0" applyNumberFormat="1"/>
    <xf numFmtId="14" fontId="0" fillId="0" borderId="0" xfId="0" applyNumberFormat="1"/>
    <xf numFmtId="0" fontId="7" fillId="6" borderId="0" xfId="0" applyFont="1" applyFill="1" applyAlignment="1">
      <alignment horizontal="center"/>
    </xf>
    <xf numFmtId="0" fontId="7" fillId="6" borderId="1" xfId="0" applyFont="1" applyFill="1" applyBorder="1" applyAlignment="1">
      <alignment horizontal="left" vertical="center"/>
    </xf>
    <xf numFmtId="49" fontId="0" fillId="0" borderId="1" xfId="0" applyNumberFormat="1" applyFill="1" applyBorder="1"/>
    <xf numFmtId="0" fontId="0" fillId="0" borderId="1" xfId="0" applyNumberFormat="1" applyFill="1" applyBorder="1"/>
    <xf numFmtId="0" fontId="0" fillId="0" borderId="0" xfId="0" applyFill="1"/>
    <xf numFmtId="15" fontId="0" fillId="0" borderId="1" xfId="0" applyNumberFormat="1" applyFill="1" applyBorder="1" applyAlignment="1">
      <alignment horizontal="center"/>
    </xf>
    <xf numFmtId="1" fontId="7" fillId="12" borderId="1" xfId="0" applyNumberFormat="1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 vertical="center"/>
    </xf>
    <xf numFmtId="0" fontId="0" fillId="13" borderId="1" xfId="0" applyNumberFormat="1" applyFill="1" applyBorder="1"/>
    <xf numFmtId="1" fontId="0" fillId="13" borderId="1" xfId="0" applyNumberFormat="1" applyFill="1" applyBorder="1" applyAlignment="1">
      <alignment horizontal="center"/>
    </xf>
    <xf numFmtId="0" fontId="0" fillId="13" borderId="1" xfId="0" applyFill="1" applyBorder="1"/>
    <xf numFmtId="0" fontId="7" fillId="11" borderId="1" xfId="0" applyFont="1" applyFill="1" applyBorder="1" applyAlignment="1">
      <alignment horizontal="center" vertical="center"/>
    </xf>
    <xf numFmtId="3" fontId="0" fillId="14" borderId="1" xfId="0" applyNumberFormat="1" applyFill="1" applyBorder="1"/>
    <xf numFmtId="0" fontId="0" fillId="14" borderId="1" xfId="0" applyFill="1" applyBorder="1"/>
    <xf numFmtId="0" fontId="0" fillId="14" borderId="0" xfId="0" applyFill="1"/>
    <xf numFmtId="0" fontId="1" fillId="0" borderId="8" xfId="0" applyFont="1" applyBorder="1" applyAlignment="1">
      <alignment horizontal="center"/>
    </xf>
    <xf numFmtId="15" fontId="0" fillId="5" borderId="1" xfId="0" applyNumberFormat="1" applyFill="1" applyBorder="1" applyAlignment="1">
      <alignment horizontal="center"/>
    </xf>
    <xf numFmtId="15" fontId="0" fillId="5" borderId="14" xfId="0" applyNumberFormat="1" applyFill="1" applyBorder="1" applyAlignment="1">
      <alignment horizontal="center"/>
    </xf>
    <xf numFmtId="0" fontId="0" fillId="5" borderId="1" xfId="0" applyNumberFormat="1" applyFill="1" applyBorder="1"/>
    <xf numFmtId="0" fontId="0" fillId="15" borderId="1" xfId="0" applyFill="1" applyBorder="1"/>
    <xf numFmtId="0" fontId="0" fillId="15" borderId="1" xfId="0" applyFill="1" applyBorder="1" applyAlignment="1">
      <alignment horizontal="left"/>
    </xf>
    <xf numFmtId="15" fontId="0" fillId="15" borderId="1" xfId="0" applyNumberFormat="1" applyFill="1" applyBorder="1"/>
    <xf numFmtId="3" fontId="0" fillId="15" borderId="1" xfId="0" applyNumberFormat="1" applyFill="1" applyBorder="1"/>
    <xf numFmtId="15" fontId="0" fillId="15" borderId="1" xfId="0" applyNumberFormat="1" applyFill="1" applyBorder="1" applyAlignment="1">
      <alignment horizontal="left"/>
    </xf>
    <xf numFmtId="49" fontId="0" fillId="15" borderId="1" xfId="0" applyNumberFormat="1" applyFill="1" applyBorder="1"/>
    <xf numFmtId="164" fontId="0" fillId="15" borderId="1" xfId="1" applyNumberFormat="1" applyFont="1" applyFill="1" applyBorder="1"/>
    <xf numFmtId="0" fontId="0" fillId="15" borderId="1" xfId="0" applyNumberFormat="1" applyFill="1" applyBorder="1"/>
    <xf numFmtId="0" fontId="0" fillId="15" borderId="0" xfId="0" applyFill="1"/>
    <xf numFmtId="0" fontId="0" fillId="5" borderId="0" xfId="0" applyFill="1" applyBorder="1"/>
    <xf numFmtId="0" fontId="1" fillId="0" borderId="8" xfId="0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0" fontId="0" fillId="15" borderId="8" xfId="0" applyFill="1" applyBorder="1"/>
    <xf numFmtId="0" fontId="0" fillId="0" borderId="0" xfId="0" applyBorder="1"/>
    <xf numFmtId="0" fontId="8" fillId="5" borderId="0" xfId="0" applyFont="1" applyFill="1" applyAlignment="1"/>
    <xf numFmtId="15" fontId="0" fillId="0" borderId="1" xfId="0" applyNumberFormat="1" applyBorder="1" applyAlignment="1">
      <alignment horizontal="right"/>
    </xf>
    <xf numFmtId="164" fontId="0" fillId="15" borderId="1" xfId="1" applyNumberFormat="1" applyFont="1" applyFill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0" fillId="15" borderId="0" xfId="1" applyNumberFormat="1" applyFont="1" applyFill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6" borderId="1" xfId="0" applyFont="1" applyFill="1" applyBorder="1"/>
    <xf numFmtId="0" fontId="1" fillId="0" borderId="8" xfId="0" applyFont="1" applyBorder="1" applyAlignment="1">
      <alignment horizontal="center"/>
    </xf>
    <xf numFmtId="0" fontId="0" fillId="0" borderId="14" xfId="0" applyBorder="1"/>
    <xf numFmtId="0" fontId="0" fillId="15" borderId="14" xfId="0" applyFill="1" applyBorder="1"/>
    <xf numFmtId="0" fontId="0" fillId="0" borderId="0" xfId="0" applyNumberFormat="1" applyFill="1" applyBorder="1"/>
    <xf numFmtId="0" fontId="0" fillId="0" borderId="16" xfId="0" applyFill="1" applyBorder="1"/>
    <xf numFmtId="15" fontId="0" fillId="5" borderId="0" xfId="0" applyNumberFormat="1" applyFill="1" applyBorder="1" applyAlignment="1">
      <alignment horizontal="left"/>
    </xf>
    <xf numFmtId="49" fontId="0" fillId="5" borderId="0" xfId="0" applyNumberFormat="1" applyFill="1" applyBorder="1" applyAlignment="1">
      <alignment horizontal="right"/>
    </xf>
    <xf numFmtId="15" fontId="0" fillId="15" borderId="1" xfId="0" applyNumberFormat="1" applyFill="1" applyBorder="1" applyAlignment="1">
      <alignment horizontal="right"/>
    </xf>
    <xf numFmtId="15" fontId="0" fillId="0" borderId="1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15" borderId="1" xfId="0" applyFill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15" fontId="0" fillId="17" borderId="1" xfId="0" applyNumberForma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10" borderId="1" xfId="0" applyFont="1" applyFill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15" borderId="17" xfId="0" applyFill="1" applyBorder="1"/>
    <xf numFmtId="0" fontId="1" fillId="0" borderId="8" xfId="0" applyFont="1" applyBorder="1" applyAlignment="1">
      <alignment horizontal="center"/>
    </xf>
    <xf numFmtId="0" fontId="0" fillId="15" borderId="14" xfId="0" applyFill="1" applyBorder="1" applyAlignment="1">
      <alignment horizontal="left"/>
    </xf>
    <xf numFmtId="15" fontId="0" fillId="15" borderId="14" xfId="0" applyNumberFormat="1" applyFill="1" applyBorder="1"/>
    <xf numFmtId="0" fontId="1" fillId="0" borderId="8" xfId="0" applyFon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2" fillId="0" borderId="8" xfId="0" applyFont="1" applyBorder="1"/>
    <xf numFmtId="0" fontId="2" fillId="0" borderId="15" xfId="0" applyFont="1" applyBorder="1"/>
    <xf numFmtId="0" fontId="2" fillId="0" borderId="9" xfId="0" applyFont="1" applyBorder="1"/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5" fontId="0" fillId="15" borderId="9" xfId="0" applyNumberFormat="1" applyFill="1" applyBorder="1"/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0" xfId="0" applyNumberFormat="1"/>
    <xf numFmtId="0" fontId="0" fillId="0" borderId="0" xfId="0" applyBorder="1" applyAlignment="1">
      <alignment horizontal="right"/>
    </xf>
    <xf numFmtId="49" fontId="2" fillId="2" borderId="8" xfId="0" applyNumberFormat="1" applyFon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3" borderId="14" xfId="0" applyNumberFormat="1" applyFill="1" applyBorder="1"/>
    <xf numFmtId="15" fontId="0" fillId="0" borderId="14" xfId="0" applyNumberFormat="1" applyFill="1" applyBorder="1" applyAlignment="1">
      <alignment horizontal="center"/>
    </xf>
    <xf numFmtId="0" fontId="0" fillId="0" borderId="14" xfId="0" applyFill="1" applyBorder="1"/>
    <xf numFmtId="0" fontId="0" fillId="13" borderId="14" xfId="0" applyFill="1" applyBorder="1"/>
    <xf numFmtId="0" fontId="0" fillId="0" borderId="14" xfId="0" applyBorder="1" applyAlignment="1">
      <alignment horizontal="center"/>
    </xf>
    <xf numFmtId="0" fontId="0" fillId="0" borderId="17" xfId="0" applyNumberFormat="1" applyFill="1" applyBorder="1"/>
    <xf numFmtId="0" fontId="0" fillId="13" borderId="17" xfId="0" applyNumberFormat="1" applyFill="1" applyBorder="1"/>
    <xf numFmtId="0" fontId="0" fillId="0" borderId="17" xfId="0" applyFill="1" applyBorder="1"/>
    <xf numFmtId="0" fontId="0" fillId="13" borderId="17" xfId="0" applyFill="1" applyBorder="1"/>
    <xf numFmtId="3" fontId="0" fillId="15" borderId="1" xfId="1" applyNumberFormat="1" applyFont="1" applyFill="1" applyBorder="1" applyAlignment="1">
      <alignment horizontal="right"/>
    </xf>
    <xf numFmtId="0" fontId="1" fillId="0" borderId="8" xfId="0" applyFont="1" applyBorder="1" applyAlignment="1">
      <alignment horizontal="center"/>
    </xf>
    <xf numFmtId="49" fontId="2" fillId="2" borderId="8" xfId="0" applyNumberFormat="1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49" fontId="2" fillId="2" borderId="15" xfId="0" applyNumberFormat="1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0" fillId="15" borderId="14" xfId="1" applyNumberFormat="1" applyFont="1" applyFill="1" applyBorder="1" applyAlignment="1">
      <alignment horizontal="right"/>
    </xf>
    <xf numFmtId="0" fontId="0" fillId="15" borderId="14" xfId="0" applyNumberFormat="1" applyFill="1" applyBorder="1"/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49" fontId="7" fillId="6" borderId="1" xfId="0" applyNumberFormat="1" applyFont="1" applyFill="1" applyBorder="1" applyAlignment="1">
      <alignment horizontal="left" vertical="center"/>
    </xf>
    <xf numFmtId="49" fontId="0" fillId="15" borderId="1" xfId="0" applyNumberFormat="1" applyFill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0" fillId="16" borderId="0" xfId="0" applyNumberFormat="1" applyFill="1"/>
    <xf numFmtId="0" fontId="1" fillId="0" borderId="8" xfId="0" applyFont="1" applyBorder="1" applyAlignment="1">
      <alignment horizontal="center"/>
    </xf>
    <xf numFmtId="15" fontId="0" fillId="15" borderId="1" xfId="0" applyNumberFormat="1" applyFill="1" applyBorder="1" applyAlignment="1">
      <alignment horizontal="center"/>
    </xf>
    <xf numFmtId="1" fontId="0" fillId="0" borderId="0" xfId="0" applyNumberFormat="1"/>
    <xf numFmtId="49" fontId="2" fillId="2" borderId="1" xfId="0" applyNumberFormat="1" applyFont="1" applyFill="1" applyBorder="1" applyAlignment="1"/>
    <xf numFmtId="0" fontId="1" fillId="0" borderId="8" xfId="0" applyFont="1" applyBorder="1" applyAlignment="1">
      <alignment horizontal="center"/>
    </xf>
    <xf numFmtId="0" fontId="0" fillId="19" borderId="1" xfId="0" applyFill="1" applyBorder="1" applyAlignment="1">
      <alignment horizontal="center"/>
    </xf>
    <xf numFmtId="164" fontId="0" fillId="15" borderId="14" xfId="1" applyNumberFormat="1" applyFont="1" applyFill="1" applyBorder="1"/>
    <xf numFmtId="0" fontId="0" fillId="15" borderId="17" xfId="0" applyNumberFormat="1" applyFill="1" applyBorder="1"/>
    <xf numFmtId="0" fontId="10" fillId="0" borderId="18" xfId="0" applyFont="1" applyFill="1" applyBorder="1"/>
    <xf numFmtId="0" fontId="9" fillId="13" borderId="19" xfId="0" applyFont="1" applyFill="1" applyBorder="1"/>
    <xf numFmtId="0" fontId="10" fillId="19" borderId="19" xfId="0" applyFont="1" applyFill="1" applyBorder="1"/>
    <xf numFmtId="0" fontId="10" fillId="0" borderId="20" xfId="0" applyFont="1" applyBorder="1"/>
    <xf numFmtId="0" fontId="10" fillId="19" borderId="20" xfId="0" applyFont="1" applyFill="1" applyBorder="1"/>
    <xf numFmtId="0" fontId="10" fillId="0" borderId="21" xfId="0" applyFont="1" applyFill="1" applyBorder="1"/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10" fillId="19" borderId="25" xfId="0" applyFont="1" applyFill="1" applyBorder="1"/>
    <xf numFmtId="0" fontId="10" fillId="0" borderId="25" xfId="0" applyFont="1" applyBorder="1"/>
    <xf numFmtId="0" fontId="10" fillId="0" borderId="26" xfId="0" applyFont="1" applyFill="1" applyBorder="1"/>
    <xf numFmtId="0" fontId="10" fillId="0" borderId="27" xfId="0" applyFont="1" applyFill="1" applyBorder="1"/>
    <xf numFmtId="0" fontId="5" fillId="13" borderId="28" xfId="0" applyFont="1" applyFill="1" applyBorder="1" applyAlignment="1">
      <alignment horizontal="center"/>
    </xf>
    <xf numFmtId="0" fontId="5" fillId="13" borderId="29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5" borderId="1" xfId="0" applyNumberFormat="1" applyFill="1" applyBorder="1" applyAlignment="1">
      <alignment horizontal="left"/>
    </xf>
    <xf numFmtId="49" fontId="0" fillId="5" borderId="1" xfId="0" applyNumberFormat="1" applyFill="1" applyBorder="1" applyAlignment="1"/>
    <xf numFmtId="0" fontId="0" fillId="5" borderId="1" xfId="0" applyFill="1" applyBorder="1" applyAlignment="1">
      <alignment horizontal="left"/>
    </xf>
    <xf numFmtId="0" fontId="0" fillId="0" borderId="8" xfId="0" applyBorder="1" applyAlignment="1">
      <alignment horizontal="center"/>
    </xf>
    <xf numFmtId="0" fontId="5" fillId="13" borderId="31" xfId="0" applyFont="1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19" borderId="1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5" fillId="5" borderId="33" xfId="0" applyFont="1" applyFill="1" applyBorder="1"/>
    <xf numFmtId="0" fontId="0" fillId="5" borderId="34" xfId="0" applyFill="1" applyBorder="1" applyAlignment="1">
      <alignment horizontal="center"/>
    </xf>
    <xf numFmtId="0" fontId="0" fillId="5" borderId="34" xfId="0" applyFill="1" applyBorder="1"/>
    <xf numFmtId="0" fontId="0" fillId="5" borderId="35" xfId="0" applyFill="1" applyBorder="1"/>
    <xf numFmtId="0" fontId="10" fillId="0" borderId="26" xfId="0" applyFont="1" applyBorder="1"/>
    <xf numFmtId="0" fontId="0" fillId="0" borderId="6" xfId="0" applyBorder="1" applyAlignment="1">
      <alignment horizontal="center"/>
    </xf>
    <xf numFmtId="0" fontId="10" fillId="0" borderId="30" xfId="0" applyFont="1" applyBorder="1"/>
    <xf numFmtId="0" fontId="0" fillId="19" borderId="10" xfId="0" applyFill="1" applyBorder="1" applyAlignment="1">
      <alignment horizontal="center"/>
    </xf>
    <xf numFmtId="0" fontId="10" fillId="19" borderId="36" xfId="0" applyFont="1" applyFill="1" applyBorder="1"/>
    <xf numFmtId="0" fontId="1" fillId="0" borderId="8" xfId="0" applyFont="1" applyBorder="1" applyAlignment="1">
      <alignment horizontal="center"/>
    </xf>
    <xf numFmtId="0" fontId="0" fillId="20" borderId="1" xfId="0" applyFill="1" applyBorder="1"/>
    <xf numFmtId="0" fontId="1" fillId="0" borderId="8" xfId="0" applyFont="1" applyBorder="1" applyAlignment="1">
      <alignment horizontal="center"/>
    </xf>
    <xf numFmtId="15" fontId="0" fillId="2" borderId="1" xfId="0" applyNumberFormat="1" applyFill="1" applyBorder="1" applyAlignment="1">
      <alignment horizontal="center"/>
    </xf>
    <xf numFmtId="3" fontId="0" fillId="15" borderId="1" xfId="1" applyNumberFormat="1" applyFont="1" applyFill="1" applyBorder="1"/>
    <xf numFmtId="0" fontId="1" fillId="0" borderId="8" xfId="0" applyFont="1" applyBorder="1" applyAlignment="1">
      <alignment horizontal="center"/>
    </xf>
    <xf numFmtId="49" fontId="0" fillId="15" borderId="14" xfId="0" applyNumberFormat="1" applyFill="1" applyBorder="1" applyAlignment="1">
      <alignment horizontal="left"/>
    </xf>
    <xf numFmtId="49" fontId="0" fillId="15" borderId="1" xfId="0" applyNumberFormat="1" applyFill="1" applyBorder="1" applyAlignment="1"/>
    <xf numFmtId="0" fontId="0" fillId="3" borderId="14" xfId="0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5" borderId="34" xfId="0" applyFont="1" applyFill="1" applyBorder="1"/>
    <xf numFmtId="0" fontId="0" fillId="0" borderId="15" xfId="0" applyFont="1" applyBorder="1" applyAlignment="1">
      <alignment horizontal="center"/>
    </xf>
    <xf numFmtId="0" fontId="0" fillId="0" borderId="0" xfId="0" applyFont="1"/>
    <xf numFmtId="0" fontId="0" fillId="3" borderId="1" xfId="0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0" fillId="3" borderId="20" xfId="0" applyFont="1" applyFill="1" applyBorder="1"/>
    <xf numFmtId="0" fontId="0" fillId="3" borderId="9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5" fontId="0" fillId="0" borderId="1" xfId="0" applyNumberFormat="1" applyBorder="1"/>
    <xf numFmtId="0" fontId="0" fillId="15" borderId="2" xfId="0" applyFill="1" applyBorder="1"/>
    <xf numFmtId="0" fontId="0" fillId="21" borderId="1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7" fillId="6" borderId="0" xfId="0" applyFont="1" applyFill="1" applyAlignment="1">
      <alignment horizontal="left"/>
    </xf>
    <xf numFmtId="0" fontId="0" fillId="0" borderId="0" xfId="0" applyAlignment="1"/>
    <xf numFmtId="0" fontId="7" fillId="6" borderId="0" xfId="0" applyFont="1" applyFill="1" applyAlignment="1"/>
    <xf numFmtId="0" fontId="0" fillId="5" borderId="0" xfId="0" applyFill="1" applyBorder="1" applyAlignment="1"/>
    <xf numFmtId="0" fontId="0" fillId="5" borderId="1" xfId="0" applyFill="1" applyBorder="1" applyAlignment="1"/>
    <xf numFmtId="0" fontId="7" fillId="6" borderId="0" xfId="0" applyFont="1" applyFill="1" applyAlignment="1">
      <alignment horizontal="right"/>
    </xf>
    <xf numFmtId="0" fontId="0" fillId="5" borderId="0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0" borderId="0" xfId="0" applyAlignment="1">
      <alignment horizontal="right" vertical="top"/>
    </xf>
    <xf numFmtId="0" fontId="7" fillId="6" borderId="0" xfId="0" applyFont="1" applyFill="1" applyAlignment="1">
      <alignment horizontal="right" vertical="top"/>
    </xf>
    <xf numFmtId="0" fontId="0" fillId="5" borderId="0" xfId="0" applyFill="1" applyBorder="1" applyAlignment="1">
      <alignment horizontal="right" vertical="top"/>
    </xf>
    <xf numFmtId="0" fontId="0" fillId="0" borderId="0" xfId="0" applyFill="1" applyBorder="1" applyAlignment="1">
      <alignment horizontal="right" vertical="top"/>
    </xf>
    <xf numFmtId="0" fontId="8" fillId="0" borderId="0" xfId="0" applyFont="1" applyAlignment="1">
      <alignment horizontal="right" vertical="top"/>
    </xf>
    <xf numFmtId="164" fontId="0" fillId="5" borderId="1" xfId="1" applyNumberFormat="1" applyFont="1" applyFill="1" applyBorder="1" applyAlignment="1">
      <alignment horizontal="right" vertical="top"/>
    </xf>
    <xf numFmtId="0" fontId="0" fillId="5" borderId="1" xfId="0" applyFill="1" applyBorder="1" applyAlignment="1">
      <alignment horizontal="right" vertical="top"/>
    </xf>
    <xf numFmtId="0" fontId="0" fillId="18" borderId="0" xfId="0" applyFill="1" applyBorder="1" applyAlignment="1">
      <alignment horizontal="center"/>
    </xf>
    <xf numFmtId="0" fontId="0" fillId="5" borderId="0" xfId="0" applyNumberFormat="1" applyFill="1" applyBorder="1" applyAlignment="1">
      <alignment horizontal="right"/>
    </xf>
    <xf numFmtId="0" fontId="0" fillId="5" borderId="1" xfId="0" applyNumberFormat="1" applyFill="1" applyBorder="1" applyAlignment="1">
      <alignment horizontal="right"/>
    </xf>
    <xf numFmtId="0" fontId="0" fillId="5" borderId="0" xfId="0" applyNumberFormat="1" applyFill="1" applyBorder="1" applyAlignment="1"/>
    <xf numFmtId="0" fontId="0" fillId="5" borderId="1" xfId="0" applyNumberFormat="1" applyFill="1" applyBorder="1" applyAlignment="1"/>
    <xf numFmtId="0" fontId="0" fillId="4" borderId="0" xfId="0" applyFill="1"/>
    <xf numFmtId="0" fontId="0" fillId="4" borderId="1" xfId="0" applyFill="1" applyBorder="1"/>
    <xf numFmtId="15" fontId="0" fillId="5" borderId="1" xfId="0" applyNumberFormat="1" applyFill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9" fontId="5" fillId="2" borderId="1" xfId="0" applyNumberFormat="1" applyFont="1" applyFill="1" applyBorder="1" applyAlignment="1">
      <alignment horizontal="center"/>
    </xf>
    <xf numFmtId="15" fontId="0" fillId="0" borderId="0" xfId="0" applyNumberFormat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15" fontId="0" fillId="5" borderId="1" xfId="0" applyNumberFormat="1" applyFont="1" applyFill="1" applyBorder="1" applyAlignment="1">
      <alignment horizontal="left"/>
    </xf>
    <xf numFmtId="0" fontId="0" fillId="5" borderId="1" xfId="0" applyFont="1" applyFill="1" applyBorder="1"/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right" vertical="top"/>
    </xf>
    <xf numFmtId="0" fontId="0" fillId="5" borderId="1" xfId="0" applyFont="1" applyFill="1" applyBorder="1" applyAlignment="1">
      <alignment horizontal="right"/>
    </xf>
    <xf numFmtId="0" fontId="0" fillId="5" borderId="1" xfId="0" applyFont="1" applyFill="1" applyBorder="1" applyAlignment="1"/>
    <xf numFmtId="0" fontId="5" fillId="4" borderId="0" xfId="0" applyFont="1" applyFill="1" applyAlignment="1">
      <alignment horizontal="right"/>
    </xf>
    <xf numFmtId="0" fontId="5" fillId="0" borderId="0" xfId="0" applyFont="1" applyAlignment="1">
      <alignment horizontal="right" vertical="top"/>
    </xf>
    <xf numFmtId="0" fontId="1" fillId="0" borderId="8" xfId="0" applyFont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13" borderId="2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10" fillId="5" borderId="20" xfId="0" applyFont="1" applyFill="1" applyBorder="1"/>
    <xf numFmtId="0" fontId="0" fillId="5" borderId="9" xfId="0" applyFont="1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40" xfId="0" applyFill="1" applyBorder="1"/>
    <xf numFmtId="0" fontId="0" fillId="13" borderId="10" xfId="0" applyFill="1" applyBorder="1" applyAlignment="1">
      <alignment horizontal="center"/>
    </xf>
    <xf numFmtId="0" fontId="9" fillId="13" borderId="20" xfId="0" applyFont="1" applyFill="1" applyBorder="1"/>
    <xf numFmtId="0" fontId="9" fillId="13" borderId="36" xfId="0" applyFont="1" applyFill="1" applyBorder="1"/>
    <xf numFmtId="0" fontId="9" fillId="19" borderId="25" xfId="0" applyFont="1" applyFill="1" applyBorder="1"/>
    <xf numFmtId="0" fontId="0" fillId="5" borderId="9" xfId="0" applyFill="1" applyBorder="1" applyAlignment="1">
      <alignment horizontal="center"/>
    </xf>
    <xf numFmtId="0" fontId="9" fillId="19" borderId="19" xfId="0" applyFont="1" applyFill="1" applyBorder="1"/>
    <xf numFmtId="0" fontId="10" fillId="0" borderId="41" xfId="0" applyFont="1" applyFill="1" applyBorder="1"/>
    <xf numFmtId="0" fontId="7" fillId="6" borderId="4" xfId="0" applyFont="1" applyFill="1" applyBorder="1" applyAlignment="1">
      <alignment horizontal="left" vertical="center"/>
    </xf>
    <xf numFmtId="0" fontId="0" fillId="15" borderId="9" xfId="0" applyFill="1" applyBorder="1" applyAlignment="1">
      <alignment horizontal="left"/>
    </xf>
    <xf numFmtId="14" fontId="0" fillId="15" borderId="1" xfId="0" applyNumberForma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49" fontId="2" fillId="2" borderId="8" xfId="0" applyNumberFormat="1" applyFont="1" applyFill="1" applyBorder="1" applyAlignment="1">
      <alignment horizontal="left"/>
    </xf>
    <xf numFmtId="49" fontId="2" fillId="2" borderId="9" xfId="0" applyNumberFormat="1" applyFont="1" applyFill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3" borderId="7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3" fontId="2" fillId="15" borderId="8" xfId="0" applyNumberFormat="1" applyFont="1" applyFill="1" applyBorder="1" applyAlignment="1">
      <alignment horizontal="center"/>
    </xf>
    <xf numFmtId="3" fontId="0" fillId="15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164" fontId="0" fillId="15" borderId="1" xfId="1" applyNumberFormat="1" applyFont="1" applyFill="1" applyBorder="1" applyAlignment="1">
      <alignment horizontal="left"/>
    </xf>
    <xf numFmtId="0" fontId="1" fillId="15" borderId="1" xfId="0" applyFont="1" applyFill="1" applyBorder="1"/>
    <xf numFmtId="15" fontId="0" fillId="15" borderId="14" xfId="0" applyNumberFormat="1" applyFill="1" applyBorder="1" applyAlignment="1">
      <alignment horizontal="center"/>
    </xf>
    <xf numFmtId="3" fontId="0" fillId="15" borderId="14" xfId="0" applyNumberFormat="1" applyFill="1" applyBorder="1"/>
    <xf numFmtId="0" fontId="1" fillId="0" borderId="8" xfId="0" applyFont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3" fontId="1" fillId="5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5" borderId="1" xfId="0" applyFill="1" applyBorder="1" applyAlignment="1">
      <alignment horizontal="left" vertical="top"/>
    </xf>
    <xf numFmtId="0" fontId="0" fillId="5" borderId="1" xfId="0" applyFont="1" applyFill="1" applyBorder="1" applyAlignment="1">
      <alignment horizontal="left"/>
    </xf>
    <xf numFmtId="9" fontId="0" fillId="0" borderId="0" xfId="0" applyNumberFormat="1" applyAlignment="1">
      <alignment horizontal="right"/>
    </xf>
    <xf numFmtId="0" fontId="7" fillId="6" borderId="1" xfId="0" applyFont="1" applyFill="1" applyBorder="1" applyAlignment="1">
      <alignment horizontal="right" vertical="center"/>
    </xf>
    <xf numFmtId="0" fontId="0" fillId="15" borderId="1" xfId="0" applyNumberFormat="1" applyFill="1" applyBorder="1" applyAlignment="1">
      <alignment horizontal="right"/>
    </xf>
    <xf numFmtId="0" fontId="0" fillId="0" borderId="1" xfId="0" applyNumberFormat="1" applyFill="1" applyBorder="1" applyAlignment="1">
      <alignment horizontal="right"/>
    </xf>
    <xf numFmtId="0" fontId="0" fillId="15" borderId="14" xfId="0" applyNumberFormat="1" applyFill="1" applyBorder="1" applyAlignment="1">
      <alignment horizontal="right"/>
    </xf>
    <xf numFmtId="0" fontId="0" fillId="4" borderId="1" xfId="0" applyNumberFormat="1" applyFill="1" applyBorder="1" applyAlignment="1">
      <alignment horizontal="right"/>
    </xf>
    <xf numFmtId="17" fontId="12" fillId="0" borderId="0" xfId="0" applyNumberFormat="1" applyFont="1" applyAlignment="1">
      <alignment horizontal="center"/>
    </xf>
    <xf numFmtId="3" fontId="0" fillId="0" borderId="1" xfId="0" applyNumberFormat="1" applyBorder="1" applyAlignment="1">
      <alignment horizontal="right" vertical="top"/>
    </xf>
    <xf numFmtId="3" fontId="0" fillId="5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3" fontId="0" fillId="22" borderId="1" xfId="0" applyNumberFormat="1" applyFill="1" applyBorder="1" applyAlignment="1">
      <alignment horizontal="right"/>
    </xf>
    <xf numFmtId="3" fontId="0" fillId="5" borderId="1" xfId="0" applyNumberFormat="1" applyFill="1" applyBorder="1" applyAlignment="1">
      <alignment horizontal="right"/>
    </xf>
    <xf numFmtId="3" fontId="0" fillId="0" borderId="1" xfId="0" applyNumberFormat="1" applyFill="1" applyBorder="1" applyAlignment="1">
      <alignment horizontal="right"/>
    </xf>
    <xf numFmtId="3" fontId="0" fillId="0" borderId="1" xfId="0" applyNumberFormat="1" applyBorder="1" applyAlignment="1"/>
    <xf numFmtId="0" fontId="1" fillId="0" borderId="8" xfId="0" applyFont="1" applyBorder="1" applyAlignment="1">
      <alignment horizontal="center"/>
    </xf>
    <xf numFmtId="0" fontId="1" fillId="4" borderId="1" xfId="0" applyFont="1" applyFill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19" borderId="1" xfId="0" applyFont="1" applyFill="1" applyBorder="1"/>
    <xf numFmtId="0" fontId="0" fillId="19" borderId="1" xfId="0" applyFill="1" applyBorder="1"/>
    <xf numFmtId="3" fontId="0" fillId="0" borderId="1" xfId="0" applyNumberFormat="1" applyFill="1" applyBorder="1" applyAlignment="1">
      <alignment horizontal="right" vertical="top"/>
    </xf>
    <xf numFmtId="3" fontId="0" fillId="0" borderId="1" xfId="0" applyNumberFormat="1" applyFill="1" applyBorder="1" applyAlignment="1"/>
    <xf numFmtId="15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/>
    </xf>
    <xf numFmtId="3" fontId="0" fillId="4" borderId="1" xfId="0" applyNumberFormat="1" applyFill="1" applyBorder="1" applyAlignment="1"/>
    <xf numFmtId="0" fontId="0" fillId="15" borderId="0" xfId="0" applyFill="1" applyAlignment="1">
      <alignment horizontal="center"/>
    </xf>
    <xf numFmtId="49" fontId="0" fillId="4" borderId="1" xfId="0" applyNumberFormat="1" applyFill="1" applyBorder="1" applyAlignment="1">
      <alignment horizontal="right"/>
    </xf>
    <xf numFmtId="3" fontId="0" fillId="4" borderId="1" xfId="0" applyNumberFormat="1" applyFill="1" applyBorder="1"/>
    <xf numFmtId="15" fontId="0" fillId="4" borderId="1" xfId="0" applyNumberFormat="1" applyFill="1" applyBorder="1"/>
    <xf numFmtId="0" fontId="0" fillId="4" borderId="1" xfId="0" applyFill="1" applyBorder="1" applyAlignment="1">
      <alignment horizontal="right"/>
    </xf>
    <xf numFmtId="164" fontId="0" fillId="4" borderId="1" xfId="1" applyNumberFormat="1" applyFont="1" applyFill="1" applyBorder="1"/>
    <xf numFmtId="3" fontId="0" fillId="13" borderId="1" xfId="0" applyNumberFormat="1" applyFill="1" applyBorder="1"/>
    <xf numFmtId="164" fontId="0" fillId="0" borderId="1" xfId="1" applyNumberFormat="1" applyFont="1" applyBorder="1" applyAlignment="1">
      <alignment horizontal="right"/>
    </xf>
    <xf numFmtId="3" fontId="5" fillId="0" borderId="0" xfId="0" applyNumberFormat="1" applyFont="1" applyAlignment="1"/>
    <xf numFmtId="0" fontId="0" fillId="0" borderId="0" xfId="0" applyNumberFormat="1" applyFill="1" applyBorder="1" applyAlignment="1">
      <alignment horizontal="right"/>
    </xf>
    <xf numFmtId="3" fontId="0" fillId="0" borderId="0" xfId="0" applyNumberFormat="1" applyBorder="1" applyAlignment="1">
      <alignment horizontal="right"/>
    </xf>
    <xf numFmtId="0" fontId="5" fillId="0" borderId="0" xfId="0" applyFont="1" applyAlignment="1">
      <alignment horizontal="left"/>
    </xf>
    <xf numFmtId="17" fontId="0" fillId="0" borderId="0" xfId="0" applyNumberFormat="1" applyAlignment="1">
      <alignment horizontal="center"/>
    </xf>
    <xf numFmtId="3" fontId="2" fillId="4" borderId="1" xfId="0" applyNumberFormat="1" applyFont="1" applyFill="1" applyBorder="1"/>
    <xf numFmtId="164" fontId="6" fillId="0" borderId="1" xfId="1" applyNumberFormat="1" applyFont="1" applyBorder="1"/>
    <xf numFmtId="164" fontId="6" fillId="15" borderId="1" xfId="1" applyNumberFormat="1" applyFont="1" applyFill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3" fontId="5" fillId="0" borderId="0" xfId="0" applyNumberFormat="1" applyFont="1" applyAlignment="1">
      <alignment horizontal="left"/>
    </xf>
    <xf numFmtId="0" fontId="5" fillId="8" borderId="0" xfId="0" applyFont="1" applyFill="1" applyAlignment="1">
      <alignment horizontal="left" vertical="top"/>
    </xf>
    <xf numFmtId="0" fontId="5" fillId="8" borderId="0" xfId="0" applyFont="1" applyFill="1" applyAlignment="1">
      <alignment horizontal="left"/>
    </xf>
    <xf numFmtId="164" fontId="0" fillId="15" borderId="0" xfId="1" applyNumberFormat="1" applyFont="1" applyFill="1" applyAlignment="1">
      <alignment horizontal="left"/>
    </xf>
    <xf numFmtId="0" fontId="0" fillId="5" borderId="14" xfId="0" applyFill="1" applyBorder="1"/>
    <xf numFmtId="49" fontId="0" fillId="5" borderId="14" xfId="0" applyNumberFormat="1" applyFill="1" applyBorder="1" applyAlignment="1">
      <alignment horizontal="left"/>
    </xf>
    <xf numFmtId="3" fontId="0" fillId="5" borderId="14" xfId="0" applyNumberFormat="1" applyFill="1" applyBorder="1"/>
    <xf numFmtId="0" fontId="0" fillId="5" borderId="14" xfId="0" applyNumberFormat="1" applyFill="1" applyBorder="1" applyAlignment="1">
      <alignment horizontal="right"/>
    </xf>
    <xf numFmtId="0" fontId="0" fillId="5" borderId="14" xfId="0" applyNumberFormat="1" applyFill="1" applyBorder="1"/>
    <xf numFmtId="49" fontId="2" fillId="2" borderId="8" xfId="0" applyNumberFormat="1" applyFon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2" fillId="2" borderId="8" xfId="0" applyNumberFormat="1" applyFont="1" applyFill="1" applyBorder="1" applyAlignment="1">
      <alignment horizontal="left"/>
    </xf>
    <xf numFmtId="49" fontId="2" fillId="2" borderId="9" xfId="0" applyNumberFormat="1" applyFont="1" applyFill="1" applyBorder="1" applyAlignment="1">
      <alignment horizontal="left"/>
    </xf>
    <xf numFmtId="49" fontId="0" fillId="0" borderId="8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0" fillId="15" borderId="1" xfId="0" applyFill="1" applyBorder="1" applyAlignment="1">
      <alignment horizontal="center"/>
    </xf>
    <xf numFmtId="164" fontId="0" fillId="0" borderId="1" xfId="1" applyNumberFormat="1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9" fontId="0" fillId="2" borderId="8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2" fillId="2" borderId="8" xfId="0" applyNumberFormat="1" applyFont="1" applyFill="1" applyBorder="1" applyAlignment="1">
      <alignment horizontal="left"/>
    </xf>
    <xf numFmtId="49" fontId="2" fillId="2" borderId="9" xfId="0" applyNumberFormat="1" applyFont="1" applyFill="1" applyBorder="1" applyAlignment="1">
      <alignment horizontal="left"/>
    </xf>
    <xf numFmtId="49" fontId="2" fillId="2" borderId="8" xfId="0" applyNumberFormat="1" applyFon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9" fontId="2" fillId="2" borderId="15" xfId="0" applyNumberFormat="1" applyFont="1" applyFill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0" fontId="3" fillId="19" borderId="2" xfId="0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horizontal="center" vertical="center"/>
    </xf>
    <xf numFmtId="0" fontId="3" fillId="19" borderId="4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3" fillId="19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49" fontId="0" fillId="2" borderId="8" xfId="0" applyNumberFormat="1" applyFill="1" applyBorder="1" applyAlignment="1">
      <alignment horizontal="left"/>
    </xf>
    <xf numFmtId="49" fontId="0" fillId="2" borderId="9" xfId="0" applyNumberFormat="1" applyFill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left"/>
    </xf>
    <xf numFmtId="0" fontId="12" fillId="0" borderId="39" xfId="0" applyFont="1" applyBorder="1" applyAlignment="1">
      <alignment horizontal="center"/>
    </xf>
    <xf numFmtId="0" fontId="8" fillId="2" borderId="14" xfId="0" applyFont="1" applyFill="1" applyBorder="1" applyAlignment="1">
      <alignment horizontal="center" vertical="center" textRotation="90"/>
    </xf>
    <xf numFmtId="0" fontId="8" fillId="2" borderId="13" xfId="0" applyFont="1" applyFill="1" applyBorder="1" applyAlignment="1">
      <alignment horizontal="center" vertical="center" textRotation="90"/>
    </xf>
    <xf numFmtId="0" fontId="8" fillId="2" borderId="17" xfId="0" applyFont="1" applyFill="1" applyBorder="1" applyAlignment="1">
      <alignment horizontal="center" vertical="center" textRotation="90"/>
    </xf>
    <xf numFmtId="0" fontId="11" fillId="2" borderId="38" xfId="0" applyFont="1" applyFill="1" applyBorder="1" applyAlignment="1">
      <alignment horizontal="right" vertical="center" textRotation="90"/>
    </xf>
    <xf numFmtId="0" fontId="11" fillId="2" borderId="13" xfId="0" applyFont="1" applyFill="1" applyBorder="1" applyAlignment="1">
      <alignment horizontal="right" vertical="center" textRotation="90"/>
    </xf>
    <xf numFmtId="0" fontId="11" fillId="2" borderId="37" xfId="0" applyFont="1" applyFill="1" applyBorder="1" applyAlignment="1">
      <alignment horizontal="right" vertical="center" textRotation="90"/>
    </xf>
    <xf numFmtId="0" fontId="5" fillId="0" borderId="39" xfId="0" applyFont="1" applyBorder="1" applyAlignment="1">
      <alignment horizontal="center"/>
    </xf>
    <xf numFmtId="0" fontId="0" fillId="19" borderId="11" xfId="0" applyFill="1" applyBorder="1" applyAlignment="1">
      <alignment horizontal="center"/>
    </xf>
    <xf numFmtId="0" fontId="0" fillId="19" borderId="10" xfId="0" applyFill="1" applyBorder="1" applyAlignment="1">
      <alignment horizontal="center"/>
    </xf>
    <xf numFmtId="0" fontId="0" fillId="19" borderId="12" xfId="0" applyFill="1" applyBorder="1" applyAlignment="1">
      <alignment horizontal="center"/>
    </xf>
    <xf numFmtId="0" fontId="5" fillId="13" borderId="28" xfId="0" applyFont="1" applyFill="1" applyBorder="1" applyAlignment="1">
      <alignment horizontal="center"/>
    </xf>
    <xf numFmtId="0" fontId="5" fillId="13" borderId="24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 vertical="center" textRotation="90"/>
    </xf>
    <xf numFmtId="0" fontId="11" fillId="2" borderId="13" xfId="0" applyFont="1" applyFill="1" applyBorder="1" applyAlignment="1">
      <alignment horizontal="center" vertical="center" textRotation="90"/>
    </xf>
    <xf numFmtId="0" fontId="11" fillId="2" borderId="37" xfId="0" applyFont="1" applyFill="1" applyBorder="1" applyAlignment="1">
      <alignment horizontal="center" vertical="center" textRotation="90"/>
    </xf>
    <xf numFmtId="0" fontId="11" fillId="2" borderId="38" xfId="0" applyFont="1" applyFill="1" applyBorder="1" applyAlignment="1">
      <alignment horizontal="center" vertical="center" textRotation="90"/>
    </xf>
    <xf numFmtId="0" fontId="0" fillId="13" borderId="39" xfId="0" applyFill="1" applyBorder="1" applyAlignment="1">
      <alignment horizontal="center"/>
    </xf>
    <xf numFmtId="0" fontId="8" fillId="2" borderId="38" xfId="0" applyFont="1" applyFill="1" applyBorder="1" applyAlignment="1">
      <alignment horizontal="center" vertical="center" textRotation="90"/>
    </xf>
    <xf numFmtId="0" fontId="8" fillId="2" borderId="37" xfId="0" applyFont="1" applyFill="1" applyBorder="1" applyAlignment="1">
      <alignment horizontal="center" vertical="center" textRotation="90"/>
    </xf>
    <xf numFmtId="0" fontId="0" fillId="13" borderId="11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13" fillId="2" borderId="38" xfId="0" applyFont="1" applyFill="1" applyBorder="1" applyAlignment="1">
      <alignment horizontal="center" vertical="center" textRotation="90"/>
    </xf>
    <xf numFmtId="0" fontId="13" fillId="2" borderId="13" xfId="0" applyFont="1" applyFill="1" applyBorder="1" applyAlignment="1">
      <alignment horizontal="center" vertical="center" textRotation="90"/>
    </xf>
    <xf numFmtId="0" fontId="13" fillId="2" borderId="37" xfId="0" applyFont="1" applyFill="1" applyBorder="1" applyAlignment="1">
      <alignment horizontal="center" vertical="center" textRotation="90"/>
    </xf>
    <xf numFmtId="0" fontId="8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8:S680"/>
  <sheetViews>
    <sheetView topLeftCell="A492" zoomScale="80" zoomScaleNormal="80" workbookViewId="0">
      <selection activeCell="K616" sqref="K616"/>
    </sheetView>
  </sheetViews>
  <sheetFormatPr defaultRowHeight="15"/>
  <cols>
    <col min="1" max="1" width="19.28515625" customWidth="1"/>
    <col min="2" max="2" width="8.140625" style="1" customWidth="1"/>
    <col min="3" max="3" width="49.42578125" customWidth="1"/>
    <col min="4" max="4" width="11.5703125" bestFit="1" customWidth="1"/>
    <col min="5" max="5" width="8.7109375" customWidth="1"/>
    <col min="6" max="7" width="12.7109375" bestFit="1" customWidth="1"/>
    <col min="8" max="8" width="12.42578125" customWidth="1"/>
    <col min="9" max="9" width="10" bestFit="1" customWidth="1"/>
    <col min="10" max="10" width="11.42578125" bestFit="1" customWidth="1"/>
    <col min="11" max="11" width="8.42578125" customWidth="1"/>
    <col min="12" max="12" width="13.5703125" customWidth="1"/>
    <col min="13" max="13" width="19.7109375" customWidth="1"/>
    <col min="14" max="14" width="13.42578125" bestFit="1" customWidth="1"/>
    <col min="15" max="15" width="11.85546875" bestFit="1" customWidth="1"/>
    <col min="16" max="16" width="7.5703125" customWidth="1"/>
    <col min="17" max="17" width="12.42578125" customWidth="1"/>
  </cols>
  <sheetData>
    <row r="8" spans="2:8">
      <c r="B8" s="495" t="s">
        <v>182</v>
      </c>
      <c r="C8" s="496"/>
      <c r="D8" s="496"/>
      <c r="E8" s="496"/>
      <c r="F8" s="496"/>
      <c r="G8" s="496"/>
      <c r="H8" s="497"/>
    </row>
    <row r="9" spans="2:8">
      <c r="B9" s="498"/>
      <c r="C9" s="499"/>
      <c r="D9" s="499"/>
      <c r="E9" s="499"/>
      <c r="F9" s="499"/>
      <c r="G9" s="499"/>
      <c r="H9" s="500"/>
    </row>
    <row r="10" spans="2:8" ht="15.75">
      <c r="B10" s="2" t="s">
        <v>18</v>
      </c>
      <c r="C10" s="3" t="s">
        <v>0</v>
      </c>
      <c r="D10" s="492" t="s">
        <v>1</v>
      </c>
      <c r="E10" s="493"/>
      <c r="F10" s="4" t="s">
        <v>5</v>
      </c>
      <c r="G10" s="3" t="s">
        <v>2</v>
      </c>
      <c r="H10" s="3" t="s">
        <v>6</v>
      </c>
    </row>
    <row r="11" spans="2:8" ht="15.75">
      <c r="B11" s="5">
        <v>1</v>
      </c>
      <c r="C11" s="6">
        <v>45907</v>
      </c>
      <c r="D11" s="482">
        <v>81124540</v>
      </c>
      <c r="E11" s="483"/>
      <c r="F11" s="7">
        <v>174</v>
      </c>
      <c r="G11" s="13">
        <v>833530</v>
      </c>
      <c r="H11" s="198"/>
    </row>
    <row r="12" spans="2:8" ht="15.75">
      <c r="B12" s="5">
        <v>2</v>
      </c>
      <c r="C12" s="6">
        <v>45907</v>
      </c>
      <c r="D12" s="482">
        <v>81184757</v>
      </c>
      <c r="E12" s="483"/>
      <c r="F12" s="7">
        <v>29</v>
      </c>
      <c r="G12" s="13">
        <v>114698</v>
      </c>
      <c r="H12" s="198"/>
    </row>
    <row r="13" spans="2:8" ht="15.75">
      <c r="B13" s="5" t="s">
        <v>3</v>
      </c>
      <c r="C13" s="6">
        <v>45907</v>
      </c>
      <c r="D13" s="482">
        <v>81184485</v>
      </c>
      <c r="E13" s="483"/>
      <c r="F13" s="7">
        <v>305</v>
      </c>
      <c r="G13" s="13">
        <v>1171077</v>
      </c>
      <c r="H13" s="198"/>
    </row>
    <row r="14" spans="2:8" ht="15.75">
      <c r="B14" s="5" t="s">
        <v>4</v>
      </c>
      <c r="C14" s="6">
        <v>45907</v>
      </c>
      <c r="D14" s="482">
        <v>81184497</v>
      </c>
      <c r="E14" s="483"/>
      <c r="F14" s="7">
        <v>98</v>
      </c>
      <c r="G14" s="13">
        <v>376175</v>
      </c>
      <c r="H14" s="198"/>
    </row>
    <row r="15" spans="2:8" ht="15.75">
      <c r="B15" s="5" t="s">
        <v>10</v>
      </c>
      <c r="C15" s="6">
        <v>45937</v>
      </c>
      <c r="D15" s="482">
        <v>81185372</v>
      </c>
      <c r="E15" s="483"/>
      <c r="F15" s="7">
        <v>74</v>
      </c>
      <c r="G15" s="13">
        <v>286252</v>
      </c>
      <c r="H15" s="198"/>
    </row>
    <row r="16" spans="2:8" ht="15.75">
      <c r="B16" s="5" t="s">
        <v>11</v>
      </c>
      <c r="C16" s="6">
        <v>45937</v>
      </c>
      <c r="D16" s="482">
        <v>81185331</v>
      </c>
      <c r="E16" s="483"/>
      <c r="F16" s="7">
        <v>30</v>
      </c>
      <c r="G16" s="13">
        <v>122168</v>
      </c>
      <c r="H16" s="198"/>
    </row>
    <row r="17" spans="2:9" ht="15.75">
      <c r="B17" s="5" t="s">
        <v>12</v>
      </c>
      <c r="C17" s="6">
        <v>45937</v>
      </c>
      <c r="D17" s="482">
        <v>81185336</v>
      </c>
      <c r="E17" s="483"/>
      <c r="F17" s="7">
        <v>40</v>
      </c>
      <c r="G17" s="13">
        <v>143564</v>
      </c>
      <c r="H17" s="198"/>
    </row>
    <row r="18" spans="2:9" ht="15.75">
      <c r="B18" s="5" t="s">
        <v>13</v>
      </c>
      <c r="C18" s="6">
        <v>45937</v>
      </c>
      <c r="D18" s="482">
        <v>81185725</v>
      </c>
      <c r="E18" s="483"/>
      <c r="F18" s="7">
        <v>10</v>
      </c>
      <c r="G18" s="13">
        <v>38178</v>
      </c>
      <c r="H18" s="198"/>
    </row>
    <row r="19" spans="2:9" ht="15.75">
      <c r="B19" s="5" t="s">
        <v>14</v>
      </c>
      <c r="C19" s="6">
        <v>45968</v>
      </c>
      <c r="D19" s="482">
        <v>81186060</v>
      </c>
      <c r="E19" s="483"/>
      <c r="F19" s="7">
        <v>99</v>
      </c>
      <c r="G19" s="13">
        <v>358651</v>
      </c>
      <c r="H19" s="198"/>
    </row>
    <row r="20" spans="2:9" ht="15.75">
      <c r="B20" s="5" t="s">
        <v>15</v>
      </c>
      <c r="C20" s="6">
        <v>45968</v>
      </c>
      <c r="D20" s="482">
        <v>81186046</v>
      </c>
      <c r="E20" s="483"/>
      <c r="F20" s="7">
        <v>84</v>
      </c>
      <c r="G20" s="13">
        <v>373313</v>
      </c>
      <c r="H20" s="198"/>
    </row>
    <row r="21" spans="2:9" ht="15.75">
      <c r="B21" s="5" t="s">
        <v>16</v>
      </c>
      <c r="C21" s="6">
        <v>45968</v>
      </c>
      <c r="D21" s="482">
        <v>81185979</v>
      </c>
      <c r="E21" s="483"/>
      <c r="F21" s="7">
        <v>10</v>
      </c>
      <c r="G21" s="13">
        <v>38178</v>
      </c>
      <c r="H21" s="198"/>
    </row>
    <row r="22" spans="2:9" ht="15.75">
      <c r="B22" s="5" t="s">
        <v>17</v>
      </c>
      <c r="C22" s="6">
        <v>45968</v>
      </c>
      <c r="D22" s="482">
        <v>81186029</v>
      </c>
      <c r="E22" s="483"/>
      <c r="F22" s="7">
        <v>49</v>
      </c>
      <c r="G22" s="13">
        <v>171789</v>
      </c>
      <c r="H22" s="198"/>
    </row>
    <row r="23" spans="2:9" ht="15.75">
      <c r="B23" s="5" t="s">
        <v>44</v>
      </c>
      <c r="C23" s="15" t="s">
        <v>46</v>
      </c>
      <c r="D23" s="482">
        <v>81187561</v>
      </c>
      <c r="E23" s="483"/>
      <c r="F23" s="7">
        <v>25</v>
      </c>
      <c r="G23" s="13">
        <v>114533</v>
      </c>
      <c r="H23" s="198"/>
    </row>
    <row r="24" spans="2:9" ht="15.75">
      <c r="B24" s="5" t="s">
        <v>45</v>
      </c>
      <c r="C24" s="15" t="s">
        <v>46</v>
      </c>
      <c r="D24" s="482">
        <v>81187653</v>
      </c>
      <c r="E24" s="483"/>
      <c r="F24" s="7">
        <v>5</v>
      </c>
      <c r="G24" s="13">
        <v>22907</v>
      </c>
      <c r="H24" s="198"/>
    </row>
    <row r="25" spans="2:9" ht="15.75">
      <c r="B25" s="5" t="s">
        <v>50</v>
      </c>
      <c r="C25" s="15" t="s">
        <v>51</v>
      </c>
      <c r="D25" s="482">
        <v>81188180</v>
      </c>
      <c r="E25" s="483"/>
      <c r="F25" s="7">
        <v>120</v>
      </c>
      <c r="G25" s="13">
        <v>449955</v>
      </c>
      <c r="H25" s="198"/>
    </row>
    <row r="26" spans="2:9" ht="15.75">
      <c r="B26" s="5" t="s">
        <v>52</v>
      </c>
      <c r="C26" s="15" t="s">
        <v>51</v>
      </c>
      <c r="D26" s="482">
        <v>81188389</v>
      </c>
      <c r="E26" s="483"/>
      <c r="F26" s="7">
        <v>20</v>
      </c>
      <c r="G26" s="13">
        <v>76533</v>
      </c>
      <c r="H26" s="198"/>
      <c r="I26">
        <v>76355</v>
      </c>
    </row>
    <row r="27" spans="2:9" ht="15.75">
      <c r="B27" s="5" t="s">
        <v>54</v>
      </c>
      <c r="C27" s="15" t="s">
        <v>51</v>
      </c>
      <c r="D27" s="482">
        <v>81188338</v>
      </c>
      <c r="E27" s="483"/>
      <c r="F27" s="7">
        <v>102</v>
      </c>
      <c r="G27" s="13">
        <v>439976</v>
      </c>
      <c r="H27" s="198"/>
    </row>
    <row r="28" spans="2:9" ht="15.75">
      <c r="B28" s="5" t="s">
        <v>55</v>
      </c>
      <c r="C28" s="15" t="s">
        <v>51</v>
      </c>
      <c r="D28" s="482">
        <v>81188222</v>
      </c>
      <c r="E28" s="483"/>
      <c r="F28" s="7">
        <v>247</v>
      </c>
      <c r="G28" s="13">
        <v>938561</v>
      </c>
      <c r="H28" s="198"/>
    </row>
    <row r="29" spans="2:9" ht="15.75">
      <c r="B29" s="5" t="s">
        <v>58</v>
      </c>
      <c r="C29" s="15" t="s">
        <v>60</v>
      </c>
      <c r="D29" s="482">
        <v>81189344</v>
      </c>
      <c r="E29" s="483"/>
      <c r="F29" s="7">
        <v>10</v>
      </c>
      <c r="G29" s="13">
        <v>45813</v>
      </c>
      <c r="H29" s="198"/>
    </row>
    <row r="30" spans="2:9" ht="15.75">
      <c r="B30" s="5" t="s">
        <v>59</v>
      </c>
      <c r="C30" s="15" t="s">
        <v>60</v>
      </c>
      <c r="D30" s="482">
        <v>81189366</v>
      </c>
      <c r="E30" s="483"/>
      <c r="F30" s="7">
        <v>30</v>
      </c>
      <c r="G30" s="13">
        <v>100049</v>
      </c>
      <c r="H30" s="198"/>
    </row>
    <row r="31" spans="2:9" ht="15.75">
      <c r="B31" s="5" t="s">
        <v>68</v>
      </c>
      <c r="C31" s="15" t="s">
        <v>72</v>
      </c>
      <c r="D31" s="482">
        <v>81190163</v>
      </c>
      <c r="E31" s="483"/>
      <c r="F31" s="28">
        <v>69</v>
      </c>
      <c r="G31" s="13">
        <v>355051</v>
      </c>
      <c r="H31" s="198"/>
    </row>
    <row r="32" spans="2:9" ht="15.75">
      <c r="B32" s="5" t="s">
        <v>69</v>
      </c>
      <c r="C32" s="15" t="s">
        <v>72</v>
      </c>
      <c r="D32" s="482">
        <v>81190362</v>
      </c>
      <c r="E32" s="483"/>
      <c r="F32" s="28">
        <v>10</v>
      </c>
      <c r="G32" s="13">
        <v>38178</v>
      </c>
      <c r="H32" s="198"/>
    </row>
    <row r="33" spans="2:8" ht="15.75">
      <c r="B33" s="5" t="s">
        <v>70</v>
      </c>
      <c r="C33" s="15" t="s">
        <v>72</v>
      </c>
      <c r="D33" s="482">
        <v>81190131</v>
      </c>
      <c r="E33" s="483"/>
      <c r="F33" s="28">
        <v>57</v>
      </c>
      <c r="G33" s="13">
        <v>226393</v>
      </c>
      <c r="H33" s="198"/>
    </row>
    <row r="34" spans="2:8" ht="15.75">
      <c r="B34" s="5" t="s">
        <v>71</v>
      </c>
      <c r="C34" s="15" t="s">
        <v>72</v>
      </c>
      <c r="D34" s="482">
        <v>81190213</v>
      </c>
      <c r="E34" s="483"/>
      <c r="F34" s="28">
        <v>136</v>
      </c>
      <c r="G34" s="13">
        <v>497485</v>
      </c>
      <c r="H34" s="198"/>
    </row>
    <row r="35" spans="2:8" ht="15.75">
      <c r="B35" s="5" t="s">
        <v>100</v>
      </c>
      <c r="C35" s="15" t="s">
        <v>93</v>
      </c>
      <c r="D35" s="482">
        <v>81191581</v>
      </c>
      <c r="E35" s="483"/>
      <c r="F35" s="28">
        <v>10</v>
      </c>
      <c r="G35" s="13">
        <v>38178</v>
      </c>
      <c r="H35" s="198"/>
    </row>
    <row r="36" spans="2:8" ht="15.75">
      <c r="B36" s="5" t="s">
        <v>101</v>
      </c>
      <c r="C36" s="15" t="s">
        <v>93</v>
      </c>
      <c r="D36" s="482">
        <v>81191489</v>
      </c>
      <c r="E36" s="483"/>
      <c r="F36" s="28">
        <v>47</v>
      </c>
      <c r="G36" s="13">
        <v>171375</v>
      </c>
      <c r="H36" s="198"/>
    </row>
    <row r="37" spans="2:8" ht="15.75">
      <c r="B37" s="5" t="s">
        <v>102</v>
      </c>
      <c r="C37" s="15" t="s">
        <v>93</v>
      </c>
      <c r="D37" s="482">
        <v>81191697</v>
      </c>
      <c r="E37" s="483"/>
      <c r="F37" s="28">
        <v>147</v>
      </c>
      <c r="G37" s="13">
        <v>565577</v>
      </c>
      <c r="H37" s="198"/>
    </row>
    <row r="38" spans="2:8" ht="15.75">
      <c r="B38" s="5" t="s">
        <v>106</v>
      </c>
      <c r="C38" s="15" t="s">
        <v>107</v>
      </c>
      <c r="D38" s="482">
        <v>81192681</v>
      </c>
      <c r="E38" s="483"/>
      <c r="F38" s="28">
        <v>58</v>
      </c>
      <c r="G38" s="13">
        <v>196445</v>
      </c>
      <c r="H38" s="198"/>
    </row>
    <row r="39" spans="2:8" ht="15.75">
      <c r="B39" s="5" t="s">
        <v>114</v>
      </c>
      <c r="C39" s="15" t="s">
        <v>116</v>
      </c>
      <c r="D39" s="482">
        <v>81193186</v>
      </c>
      <c r="E39" s="483"/>
      <c r="F39" s="7">
        <v>68</v>
      </c>
      <c r="G39" s="13">
        <v>278850</v>
      </c>
      <c r="H39" s="198"/>
    </row>
    <row r="40" spans="2:8" ht="15.75">
      <c r="B40" s="5" t="s">
        <v>115</v>
      </c>
      <c r="C40" s="15" t="s">
        <v>116</v>
      </c>
      <c r="D40" s="482">
        <v>81193282</v>
      </c>
      <c r="E40" s="483"/>
      <c r="F40" s="7">
        <v>3</v>
      </c>
      <c r="G40" s="13">
        <v>13591</v>
      </c>
      <c r="H40" s="198"/>
    </row>
    <row r="41" spans="2:8" ht="15.75">
      <c r="B41" s="5" t="s">
        <v>117</v>
      </c>
      <c r="C41" s="15" t="s">
        <v>116</v>
      </c>
      <c r="D41" s="482">
        <v>81193355</v>
      </c>
      <c r="E41" s="483"/>
      <c r="F41" s="7">
        <v>122</v>
      </c>
      <c r="G41" s="13">
        <v>477019</v>
      </c>
      <c r="H41" s="198"/>
    </row>
    <row r="42" spans="2:8" ht="15.75">
      <c r="B42" s="5" t="s">
        <v>118</v>
      </c>
      <c r="C42" s="15" t="s">
        <v>116</v>
      </c>
      <c r="D42" s="482">
        <v>81193254</v>
      </c>
      <c r="E42" s="483"/>
      <c r="F42" s="41">
        <v>93</v>
      </c>
      <c r="G42" s="13">
        <v>408819</v>
      </c>
      <c r="H42" s="198"/>
    </row>
    <row r="43" spans="2:8" ht="15.75">
      <c r="B43" s="5" t="s">
        <v>120</v>
      </c>
      <c r="C43" s="15" t="s">
        <v>122</v>
      </c>
      <c r="D43" s="482">
        <v>81194240</v>
      </c>
      <c r="E43" s="483"/>
      <c r="F43" s="41">
        <v>35</v>
      </c>
      <c r="G43" s="13">
        <v>171799</v>
      </c>
      <c r="H43" s="198"/>
    </row>
    <row r="44" spans="2:8" ht="15.75">
      <c r="B44" s="5" t="s">
        <v>121</v>
      </c>
      <c r="C44" s="15" t="s">
        <v>122</v>
      </c>
      <c r="D44" s="482">
        <v>81194272</v>
      </c>
      <c r="E44" s="483"/>
      <c r="F44" s="41">
        <v>53</v>
      </c>
      <c r="G44" s="13">
        <v>195183</v>
      </c>
      <c r="H44" s="198"/>
    </row>
    <row r="45" spans="2:8" ht="15.75">
      <c r="B45" s="5" t="s">
        <v>124</v>
      </c>
      <c r="C45" s="15" t="s">
        <v>126</v>
      </c>
      <c r="D45" s="482">
        <v>81194866</v>
      </c>
      <c r="E45" s="483"/>
      <c r="F45" s="41">
        <v>158</v>
      </c>
      <c r="G45" s="13">
        <v>593779</v>
      </c>
      <c r="H45" s="198"/>
    </row>
    <row r="46" spans="2:8" ht="15.75">
      <c r="B46" s="5" t="s">
        <v>125</v>
      </c>
      <c r="C46" s="15" t="s">
        <v>126</v>
      </c>
      <c r="D46" s="482">
        <v>81195001</v>
      </c>
      <c r="E46" s="483"/>
      <c r="F46" s="7">
        <v>85</v>
      </c>
      <c r="G46" s="13">
        <v>393548</v>
      </c>
      <c r="H46" s="198"/>
    </row>
    <row r="47" spans="2:8" ht="15.75">
      <c r="B47" s="5" t="s">
        <v>144</v>
      </c>
      <c r="C47" s="15" t="s">
        <v>146</v>
      </c>
      <c r="D47" s="482">
        <v>81195646</v>
      </c>
      <c r="E47" s="483"/>
      <c r="F47" s="7">
        <v>180</v>
      </c>
      <c r="G47" s="13">
        <v>633353</v>
      </c>
      <c r="H47" s="198"/>
    </row>
    <row r="48" spans="2:8" ht="15.75">
      <c r="B48" s="5" t="s">
        <v>145</v>
      </c>
      <c r="C48" s="15" t="s">
        <v>146</v>
      </c>
      <c r="D48" s="482">
        <v>81195590</v>
      </c>
      <c r="E48" s="483"/>
      <c r="F48" s="7">
        <v>103</v>
      </c>
      <c r="G48" s="13">
        <v>457261</v>
      </c>
      <c r="H48" s="198"/>
    </row>
    <row r="49" spans="2:8" ht="15.75">
      <c r="B49" s="5" t="s">
        <v>150</v>
      </c>
      <c r="C49" s="15" t="s">
        <v>146</v>
      </c>
      <c r="D49" s="482">
        <v>81195555</v>
      </c>
      <c r="E49" s="483"/>
      <c r="F49" s="7">
        <v>10</v>
      </c>
      <c r="G49" s="13">
        <v>38178</v>
      </c>
      <c r="H49" s="198"/>
    </row>
    <row r="50" spans="2:8" ht="15.75">
      <c r="B50" s="5" t="s">
        <v>151</v>
      </c>
      <c r="C50" s="15" t="s">
        <v>146</v>
      </c>
      <c r="D50" s="482">
        <v>81195335</v>
      </c>
      <c r="E50" s="483"/>
      <c r="F50" s="61">
        <v>60</v>
      </c>
      <c r="G50" s="13">
        <v>281215</v>
      </c>
      <c r="H50" s="198"/>
    </row>
    <row r="51" spans="2:8" ht="15.75">
      <c r="B51" s="5" t="s">
        <v>152</v>
      </c>
      <c r="C51" s="15" t="s">
        <v>154</v>
      </c>
      <c r="D51" s="482">
        <v>81196318</v>
      </c>
      <c r="E51" s="483"/>
      <c r="F51" s="61">
        <v>45</v>
      </c>
      <c r="G51" s="13">
        <v>223445</v>
      </c>
      <c r="H51" s="198"/>
    </row>
    <row r="52" spans="2:8" ht="15.75">
      <c r="B52" s="5" t="s">
        <v>153</v>
      </c>
      <c r="C52" s="15" t="s">
        <v>154</v>
      </c>
      <c r="D52" s="482">
        <v>81196422</v>
      </c>
      <c r="E52" s="483"/>
      <c r="F52" s="61">
        <v>90</v>
      </c>
      <c r="G52" s="13">
        <v>308029</v>
      </c>
      <c r="H52" s="198"/>
    </row>
    <row r="53" spans="2:8" ht="15.75">
      <c r="B53" s="5" t="s">
        <v>160</v>
      </c>
      <c r="C53" s="15" t="s">
        <v>154</v>
      </c>
      <c r="D53" s="482">
        <v>81196327</v>
      </c>
      <c r="E53" s="483"/>
      <c r="F53" s="61">
        <v>30</v>
      </c>
      <c r="G53" s="13">
        <v>108806</v>
      </c>
      <c r="H53" s="198"/>
    </row>
    <row r="54" spans="2:8" ht="15.75">
      <c r="B54" s="5" t="s">
        <v>161</v>
      </c>
      <c r="C54" s="15" t="s">
        <v>172</v>
      </c>
      <c r="D54" s="482">
        <v>81198063</v>
      </c>
      <c r="E54" s="483"/>
      <c r="F54" s="61">
        <v>106</v>
      </c>
      <c r="G54" s="13">
        <v>499575</v>
      </c>
      <c r="H54" s="198"/>
    </row>
    <row r="55" spans="2:8" ht="15.75">
      <c r="B55" s="5" t="s">
        <v>162</v>
      </c>
      <c r="C55" s="15" t="s">
        <v>172</v>
      </c>
      <c r="D55" s="482">
        <v>81198169</v>
      </c>
      <c r="E55" s="483"/>
      <c r="F55" s="67">
        <v>215</v>
      </c>
      <c r="G55" s="67">
        <v>820073</v>
      </c>
      <c r="H55" s="198"/>
    </row>
    <row r="56" spans="2:8" ht="15.75">
      <c r="B56" s="5" t="s">
        <v>163</v>
      </c>
      <c r="C56" s="15" t="s">
        <v>172</v>
      </c>
      <c r="D56" s="482">
        <v>81198052</v>
      </c>
      <c r="E56" s="483"/>
      <c r="F56" s="7">
        <v>69</v>
      </c>
      <c r="G56" s="13">
        <v>268675</v>
      </c>
      <c r="H56" s="198"/>
    </row>
    <row r="57" spans="2:8" ht="15.75">
      <c r="B57" s="5" t="s">
        <v>175</v>
      </c>
      <c r="C57" s="15" t="s">
        <v>176</v>
      </c>
      <c r="D57" s="482">
        <v>81198889</v>
      </c>
      <c r="E57" s="483"/>
      <c r="F57" s="65">
        <v>40</v>
      </c>
      <c r="G57" s="13">
        <v>156528</v>
      </c>
      <c r="H57" s="198"/>
    </row>
    <row r="58" spans="2:8" ht="15.75">
      <c r="B58" s="5"/>
      <c r="C58" s="15"/>
      <c r="D58" s="482"/>
      <c r="E58" s="483"/>
      <c r="F58" s="65"/>
      <c r="G58" s="14"/>
      <c r="H58" s="8"/>
    </row>
    <row r="59" spans="2:8" ht="15.75">
      <c r="B59" s="5"/>
      <c r="C59" s="15"/>
      <c r="D59" s="482"/>
      <c r="E59" s="483"/>
      <c r="F59" s="65"/>
      <c r="G59" s="14"/>
      <c r="H59" s="8"/>
    </row>
    <row r="60" spans="2:8" ht="15.75">
      <c r="B60" s="5"/>
      <c r="C60" s="15"/>
      <c r="D60" s="482"/>
      <c r="E60" s="483"/>
      <c r="F60" s="65"/>
      <c r="G60" s="14"/>
      <c r="H60" s="8"/>
    </row>
    <row r="61" spans="2:8" ht="15.75">
      <c r="B61" s="5"/>
      <c r="C61" s="15"/>
      <c r="D61" s="65"/>
      <c r="E61" s="66"/>
      <c r="F61" s="65"/>
      <c r="G61" s="14"/>
      <c r="H61" s="8"/>
    </row>
    <row r="62" spans="2:8" ht="15.75">
      <c r="B62" s="5"/>
      <c r="C62" s="15"/>
      <c r="D62" s="65"/>
      <c r="E62" s="66"/>
      <c r="F62" s="65"/>
      <c r="G62" s="14"/>
      <c r="H62" s="8"/>
    </row>
    <row r="63" spans="2:8" ht="15.75">
      <c r="B63" s="5"/>
      <c r="C63" s="15"/>
      <c r="D63" s="482"/>
      <c r="E63" s="483"/>
      <c r="F63" s="7"/>
      <c r="G63" s="14"/>
      <c r="H63" s="8"/>
    </row>
    <row r="64" spans="2:8" ht="15.75">
      <c r="B64" s="5"/>
      <c r="C64" s="15"/>
      <c r="D64" s="482"/>
      <c r="E64" s="483"/>
      <c r="F64" s="7"/>
      <c r="G64" s="14"/>
      <c r="H64" s="8"/>
    </row>
    <row r="65" spans="2:8" ht="15.75">
      <c r="B65" s="5"/>
      <c r="C65" s="8"/>
      <c r="D65" s="8"/>
      <c r="E65" s="8"/>
      <c r="F65" s="4">
        <f>SUM(F11:F64)</f>
        <v>3660</v>
      </c>
      <c r="G65" s="9">
        <f>SUM(G11:G64)</f>
        <v>14632308</v>
      </c>
      <c r="H65" s="8"/>
    </row>
    <row r="66" spans="2:8" ht="15.75">
      <c r="B66" s="501" t="s">
        <v>9</v>
      </c>
      <c r="C66" s="502"/>
      <c r="D66" s="3" t="s">
        <v>0</v>
      </c>
      <c r="E66" s="8"/>
      <c r="F66" s="8"/>
      <c r="G66" s="8"/>
      <c r="H66" s="8"/>
    </row>
    <row r="67" spans="2:8" ht="15.75">
      <c r="B67" s="488" t="s">
        <v>7</v>
      </c>
      <c r="C67" s="489"/>
      <c r="D67" s="16"/>
      <c r="E67" s="16"/>
      <c r="F67" s="17"/>
      <c r="G67" s="18">
        <v>4200000</v>
      </c>
      <c r="H67" s="8"/>
    </row>
    <row r="68" spans="2:8" ht="15.75">
      <c r="B68" s="488" t="s">
        <v>62</v>
      </c>
      <c r="C68" s="489"/>
      <c r="D68" s="25"/>
      <c r="E68" s="25"/>
      <c r="F68" s="25"/>
      <c r="G68" s="18">
        <v>1713000</v>
      </c>
      <c r="H68" s="8"/>
    </row>
    <row r="69" spans="2:8" ht="15.75">
      <c r="B69" s="488" t="s">
        <v>53</v>
      </c>
      <c r="C69" s="489"/>
      <c r="D69" s="16"/>
      <c r="E69" s="16"/>
      <c r="F69" s="16"/>
      <c r="G69" s="18">
        <v>458000</v>
      </c>
      <c r="H69" s="8"/>
    </row>
    <row r="70" spans="2:8" ht="15.75">
      <c r="B70" s="488" t="s">
        <v>61</v>
      </c>
      <c r="C70" s="489"/>
      <c r="D70" s="16"/>
      <c r="E70" s="16"/>
      <c r="F70" s="16"/>
      <c r="G70" s="18">
        <v>1000000</v>
      </c>
      <c r="H70" s="8"/>
    </row>
    <row r="71" spans="2:8" ht="15.75">
      <c r="B71" s="488" t="s">
        <v>83</v>
      </c>
      <c r="C71" s="489"/>
      <c r="D71" s="16" t="s">
        <v>77</v>
      </c>
      <c r="E71" s="16"/>
      <c r="F71" s="16"/>
      <c r="G71" s="18">
        <v>1000000</v>
      </c>
      <c r="H71" s="8"/>
    </row>
    <row r="72" spans="2:8" ht="15.75">
      <c r="B72" s="488" t="s">
        <v>97</v>
      </c>
      <c r="C72" s="489"/>
      <c r="D72" s="16" t="s">
        <v>98</v>
      </c>
      <c r="E72" s="40"/>
      <c r="F72" s="40"/>
      <c r="G72" s="18">
        <v>755000</v>
      </c>
      <c r="H72" s="11"/>
    </row>
    <row r="73" spans="2:8" ht="15.75">
      <c r="B73" s="488" t="s">
        <v>99</v>
      </c>
      <c r="C73" s="489"/>
      <c r="D73" s="16" t="s">
        <v>98</v>
      </c>
      <c r="E73" s="40"/>
      <c r="F73" s="40"/>
      <c r="G73" s="18">
        <v>500000</v>
      </c>
      <c r="H73" s="11"/>
    </row>
    <row r="74" spans="2:8" ht="15.75">
      <c r="B74" s="488" t="s">
        <v>113</v>
      </c>
      <c r="C74" s="489"/>
      <c r="D74" s="16" t="s">
        <v>86</v>
      </c>
      <c r="E74" s="40"/>
      <c r="F74" s="40"/>
      <c r="G74" s="18">
        <v>490000</v>
      </c>
      <c r="H74" s="11"/>
    </row>
    <row r="75" spans="2:8" ht="15.75">
      <c r="B75" s="488" t="s">
        <v>119</v>
      </c>
      <c r="C75" s="489"/>
      <c r="D75" s="16" t="s">
        <v>86</v>
      </c>
      <c r="E75" s="40"/>
      <c r="F75" s="40"/>
      <c r="G75" s="18">
        <v>1106000</v>
      </c>
      <c r="H75" s="11"/>
    </row>
    <row r="76" spans="2:8" ht="15.75">
      <c r="B76" s="488" t="s">
        <v>123</v>
      </c>
      <c r="C76" s="489"/>
      <c r="D76" s="16" t="s">
        <v>87</v>
      </c>
      <c r="E76" s="40"/>
      <c r="F76" s="40"/>
      <c r="G76" s="18">
        <v>1000000</v>
      </c>
      <c r="H76" s="11"/>
    </row>
    <row r="77" spans="2:8" ht="15.75">
      <c r="B77" s="488" t="s">
        <v>143</v>
      </c>
      <c r="C77" s="489"/>
      <c r="D77" s="16" t="s">
        <v>85</v>
      </c>
      <c r="E77" s="40"/>
      <c r="F77" s="40"/>
      <c r="G77" s="18">
        <v>650000</v>
      </c>
      <c r="H77" s="11"/>
    </row>
    <row r="78" spans="2:8" ht="15.75">
      <c r="B78" s="488" t="s">
        <v>164</v>
      </c>
      <c r="C78" s="489"/>
      <c r="D78" s="16" t="s">
        <v>105</v>
      </c>
      <c r="E78" s="40"/>
      <c r="F78" s="40"/>
      <c r="G78" s="18">
        <v>1574000</v>
      </c>
      <c r="H78" s="11"/>
    </row>
    <row r="79" spans="2:8" ht="15.75">
      <c r="B79" s="488" t="s">
        <v>169</v>
      </c>
      <c r="C79" s="489"/>
      <c r="D79" s="16" t="s">
        <v>79</v>
      </c>
      <c r="E79" s="40"/>
      <c r="F79" s="40"/>
      <c r="G79" s="18">
        <v>150000</v>
      </c>
      <c r="H79" s="11"/>
    </row>
    <row r="80" spans="2:8" ht="15.75">
      <c r="B80" s="488" t="s">
        <v>174</v>
      </c>
      <c r="C80" s="489"/>
      <c r="D80" s="16" t="s">
        <v>88</v>
      </c>
      <c r="E80" s="40"/>
      <c r="F80" s="40"/>
      <c r="G80" s="18">
        <v>50000</v>
      </c>
      <c r="H80" s="11"/>
    </row>
    <row r="81" spans="2:8">
      <c r="B81" s="503"/>
      <c r="C81" s="503"/>
      <c r="D81" s="38"/>
      <c r="E81" s="38"/>
      <c r="F81" s="38"/>
      <c r="G81" s="38"/>
      <c r="H81" s="11"/>
    </row>
    <row r="82" spans="2:8" ht="15.75">
      <c r="B82" s="71"/>
      <c r="C82" s="72"/>
      <c r="D82" s="73"/>
      <c r="E82" s="30"/>
      <c r="F82" s="30"/>
      <c r="G82" s="74"/>
      <c r="H82" s="11"/>
    </row>
    <row r="83" spans="2:8" ht="15.75">
      <c r="B83" s="71"/>
      <c r="C83" s="72"/>
      <c r="D83" s="73"/>
      <c r="E83" s="30"/>
      <c r="F83" s="30"/>
      <c r="G83" s="74"/>
      <c r="H83" s="11"/>
    </row>
    <row r="84" spans="2:8">
      <c r="B84" s="10"/>
      <c r="C84" s="11"/>
      <c r="D84" s="11"/>
      <c r="E84" s="11"/>
      <c r="F84" s="11"/>
      <c r="G84" s="11"/>
      <c r="H84" s="11"/>
    </row>
    <row r="85" spans="2:8">
      <c r="B85" s="10"/>
      <c r="C85" s="11"/>
      <c r="D85" s="11"/>
      <c r="E85" s="11"/>
      <c r="F85" s="11"/>
      <c r="G85" s="12">
        <f>SUM(G67:G84)</f>
        <v>14646000</v>
      </c>
      <c r="H85" s="11"/>
    </row>
    <row r="86" spans="2:8">
      <c r="B86" s="10"/>
      <c r="C86" s="27" t="s">
        <v>8</v>
      </c>
      <c r="D86" s="11"/>
      <c r="E86" s="11"/>
      <c r="F86" s="11"/>
      <c r="G86" s="26">
        <f>G85-G65</f>
        <v>13692</v>
      </c>
      <c r="H86" s="11"/>
    </row>
    <row r="91" spans="2:8">
      <c r="B91" s="495" t="s">
        <v>183</v>
      </c>
      <c r="C91" s="496"/>
      <c r="D91" s="496"/>
      <c r="E91" s="496"/>
      <c r="F91" s="496"/>
      <c r="G91" s="496"/>
      <c r="H91" s="497"/>
    </row>
    <row r="92" spans="2:8">
      <c r="B92" s="498"/>
      <c r="C92" s="499"/>
      <c r="D92" s="499"/>
      <c r="E92" s="499"/>
      <c r="F92" s="499"/>
      <c r="G92" s="499"/>
      <c r="H92" s="500"/>
    </row>
    <row r="93" spans="2:8" ht="15.75">
      <c r="B93" s="2" t="s">
        <v>18</v>
      </c>
      <c r="C93" s="3" t="s">
        <v>0</v>
      </c>
      <c r="D93" s="492" t="s">
        <v>1</v>
      </c>
      <c r="E93" s="493"/>
      <c r="F93" s="70" t="s">
        <v>5</v>
      </c>
      <c r="G93" s="3" t="s">
        <v>2</v>
      </c>
      <c r="H93" s="3" t="s">
        <v>6</v>
      </c>
    </row>
    <row r="94" spans="2:8" ht="15.75">
      <c r="B94" s="5" t="s">
        <v>184</v>
      </c>
      <c r="C94" s="6">
        <v>45665</v>
      </c>
      <c r="D94" s="482">
        <v>81200796</v>
      </c>
      <c r="E94" s="483"/>
      <c r="F94" s="69">
        <v>30</v>
      </c>
      <c r="G94" s="13">
        <v>110715</v>
      </c>
      <c r="H94" s="178" t="s">
        <v>409</v>
      </c>
    </row>
    <row r="95" spans="2:8" ht="15.75">
      <c r="B95" s="5" t="s">
        <v>185</v>
      </c>
      <c r="C95" s="6">
        <v>45665</v>
      </c>
      <c r="D95" s="482">
        <v>81200803</v>
      </c>
      <c r="E95" s="483"/>
      <c r="F95" s="69">
        <v>140</v>
      </c>
      <c r="G95" s="13">
        <v>530569</v>
      </c>
      <c r="H95" s="178" t="s">
        <v>409</v>
      </c>
    </row>
    <row r="96" spans="2:8" ht="15.75">
      <c r="B96" s="5" t="s">
        <v>3</v>
      </c>
      <c r="C96" s="6">
        <v>45696</v>
      </c>
      <c r="D96" s="482">
        <v>81201170</v>
      </c>
      <c r="E96" s="483"/>
      <c r="F96" s="69">
        <v>30</v>
      </c>
      <c r="G96" s="13">
        <v>104988</v>
      </c>
      <c r="H96" s="178"/>
    </row>
    <row r="97" spans="2:8" ht="15.75">
      <c r="B97" s="5" t="s">
        <v>4</v>
      </c>
      <c r="C97" s="6">
        <v>45696</v>
      </c>
      <c r="D97" s="482">
        <v>81201206</v>
      </c>
      <c r="E97" s="483"/>
      <c r="F97" s="69">
        <v>80</v>
      </c>
      <c r="G97" s="13">
        <v>303869</v>
      </c>
      <c r="H97" s="178"/>
    </row>
    <row r="98" spans="2:8" ht="15.75">
      <c r="B98" s="5" t="s">
        <v>10</v>
      </c>
      <c r="C98" s="6">
        <v>45696</v>
      </c>
      <c r="D98" s="482">
        <v>81201203</v>
      </c>
      <c r="E98" s="483"/>
      <c r="F98" s="69">
        <v>40</v>
      </c>
      <c r="G98" s="13">
        <v>143166</v>
      </c>
      <c r="H98" s="178"/>
    </row>
    <row r="99" spans="2:8" ht="15.75">
      <c r="B99" s="5" t="s">
        <v>11</v>
      </c>
      <c r="C99" s="6">
        <v>45755</v>
      </c>
      <c r="D99" s="482">
        <v>81201741</v>
      </c>
      <c r="E99" s="483"/>
      <c r="F99" s="69">
        <v>30</v>
      </c>
      <c r="G99" s="13">
        <v>189636</v>
      </c>
      <c r="H99" s="178"/>
    </row>
    <row r="100" spans="2:8" ht="15.75">
      <c r="B100" s="5" t="s">
        <v>12</v>
      </c>
      <c r="C100" s="6">
        <v>45755</v>
      </c>
      <c r="D100" s="482">
        <v>81201774</v>
      </c>
      <c r="E100" s="483"/>
      <c r="F100" s="69">
        <v>97</v>
      </c>
      <c r="G100" s="14">
        <v>371868</v>
      </c>
      <c r="H100" s="178"/>
    </row>
    <row r="101" spans="2:8" ht="15.75">
      <c r="B101" s="5" t="s">
        <v>13</v>
      </c>
      <c r="C101" s="6">
        <v>45755</v>
      </c>
      <c r="D101" s="482">
        <v>81201756</v>
      </c>
      <c r="E101" s="483"/>
      <c r="F101" s="69">
        <v>8</v>
      </c>
      <c r="G101" s="14">
        <v>49822</v>
      </c>
      <c r="H101" s="178"/>
    </row>
    <row r="102" spans="2:8" ht="15.75">
      <c r="B102" s="5" t="s">
        <v>14</v>
      </c>
      <c r="C102" s="6">
        <v>45785</v>
      </c>
      <c r="D102" s="482">
        <v>81202240</v>
      </c>
      <c r="E102" s="483"/>
      <c r="F102" s="69">
        <v>87</v>
      </c>
      <c r="G102" s="13">
        <v>405562</v>
      </c>
      <c r="H102" s="178"/>
    </row>
    <row r="103" spans="2:8" ht="15.75">
      <c r="B103" s="5" t="s">
        <v>15</v>
      </c>
      <c r="C103" s="6">
        <v>45785</v>
      </c>
      <c r="D103" s="482">
        <v>81202376</v>
      </c>
      <c r="E103" s="483"/>
      <c r="F103" s="69">
        <v>10</v>
      </c>
      <c r="G103" s="13">
        <v>38178</v>
      </c>
      <c r="H103" s="178"/>
    </row>
    <row r="104" spans="2:8" ht="15.75">
      <c r="B104" s="5" t="s">
        <v>16</v>
      </c>
      <c r="C104" s="6">
        <v>45785</v>
      </c>
      <c r="D104" s="482">
        <v>81202385</v>
      </c>
      <c r="E104" s="483"/>
      <c r="F104" s="81">
        <v>164</v>
      </c>
      <c r="G104" s="13">
        <v>628533</v>
      </c>
      <c r="H104" s="178"/>
    </row>
    <row r="105" spans="2:8" ht="15.75">
      <c r="B105" s="5" t="s">
        <v>17</v>
      </c>
      <c r="C105" s="6">
        <v>45785</v>
      </c>
      <c r="D105" s="482">
        <v>81202263</v>
      </c>
      <c r="E105" s="483"/>
      <c r="F105" s="81">
        <v>91</v>
      </c>
      <c r="G105" s="13">
        <v>395646</v>
      </c>
      <c r="H105" s="178"/>
    </row>
    <row r="106" spans="2:8" ht="15.75">
      <c r="B106" s="5" t="s">
        <v>44</v>
      </c>
      <c r="C106" s="6">
        <v>45816</v>
      </c>
      <c r="D106" s="482">
        <v>81203211</v>
      </c>
      <c r="E106" s="483"/>
      <c r="F106" s="81">
        <v>95</v>
      </c>
      <c r="G106" s="13">
        <v>349178</v>
      </c>
      <c r="H106" s="178"/>
    </row>
    <row r="107" spans="2:8" ht="15.75">
      <c r="B107" s="5" t="s">
        <v>45</v>
      </c>
      <c r="C107" s="6">
        <v>45816</v>
      </c>
      <c r="D107" s="482">
        <v>81203126</v>
      </c>
      <c r="E107" s="483"/>
      <c r="F107" s="81">
        <v>35</v>
      </c>
      <c r="G107" s="13">
        <v>125604</v>
      </c>
      <c r="H107" s="178"/>
    </row>
    <row r="108" spans="2:8" ht="15.75">
      <c r="B108" s="5" t="s">
        <v>50</v>
      </c>
      <c r="C108" s="6">
        <v>45816</v>
      </c>
      <c r="D108" s="482">
        <v>81203206</v>
      </c>
      <c r="E108" s="483"/>
      <c r="F108" s="81">
        <v>37</v>
      </c>
      <c r="G108" s="13">
        <v>168957</v>
      </c>
      <c r="H108" s="178"/>
    </row>
    <row r="109" spans="2:8" ht="15.75">
      <c r="B109" s="5" t="s">
        <v>52</v>
      </c>
      <c r="C109" s="6">
        <v>45877</v>
      </c>
      <c r="D109" s="482">
        <v>81204792</v>
      </c>
      <c r="E109" s="483"/>
      <c r="F109" s="69">
        <v>47</v>
      </c>
      <c r="G109" s="13">
        <v>198015</v>
      </c>
      <c r="H109" s="178"/>
    </row>
    <row r="110" spans="2:8" ht="15.75">
      <c r="B110" s="5" t="s">
        <v>54</v>
      </c>
      <c r="C110" s="6">
        <v>45877</v>
      </c>
      <c r="D110" s="482">
        <v>81204685</v>
      </c>
      <c r="E110" s="483"/>
      <c r="F110" s="69">
        <v>136</v>
      </c>
      <c r="G110" s="13">
        <v>499222</v>
      </c>
      <c r="H110" s="178"/>
    </row>
    <row r="111" spans="2:8" ht="15.75">
      <c r="B111" s="5" t="s">
        <v>55</v>
      </c>
      <c r="C111" s="6">
        <v>45908</v>
      </c>
      <c r="D111" s="482">
        <v>81204847</v>
      </c>
      <c r="E111" s="483"/>
      <c r="F111" s="88">
        <v>4</v>
      </c>
      <c r="G111" s="13">
        <v>15271</v>
      </c>
      <c r="H111" s="178"/>
    </row>
    <row r="112" spans="2:8" ht="15.75">
      <c r="B112" s="5" t="s">
        <v>58</v>
      </c>
      <c r="C112" s="6">
        <v>45908</v>
      </c>
      <c r="D112" s="482">
        <v>81204745</v>
      </c>
      <c r="E112" s="483"/>
      <c r="F112" s="88">
        <v>65</v>
      </c>
      <c r="G112" s="13">
        <v>317500</v>
      </c>
      <c r="H112" s="178"/>
    </row>
    <row r="113" spans="2:8" ht="15.75">
      <c r="B113" s="5" t="s">
        <v>59</v>
      </c>
      <c r="C113" s="6">
        <v>45908</v>
      </c>
      <c r="D113" s="482">
        <v>81205268</v>
      </c>
      <c r="E113" s="483"/>
      <c r="F113" s="88">
        <v>111</v>
      </c>
      <c r="G113" s="13">
        <v>378537</v>
      </c>
      <c r="H113" s="178"/>
    </row>
    <row r="114" spans="2:8" ht="15.75">
      <c r="B114" s="5" t="s">
        <v>68</v>
      </c>
      <c r="C114" s="6">
        <v>45908</v>
      </c>
      <c r="D114" s="482">
        <v>81205322</v>
      </c>
      <c r="E114" s="483"/>
      <c r="F114" s="88">
        <v>62</v>
      </c>
      <c r="G114" s="13">
        <v>269640</v>
      </c>
      <c r="H114" s="178"/>
    </row>
    <row r="115" spans="2:8" ht="15.75">
      <c r="B115" s="5" t="s">
        <v>69</v>
      </c>
      <c r="C115" s="6">
        <v>45969</v>
      </c>
      <c r="D115" s="482">
        <v>81206357</v>
      </c>
      <c r="E115" s="483"/>
      <c r="F115" s="88">
        <v>166</v>
      </c>
      <c r="G115" s="13">
        <v>576141</v>
      </c>
      <c r="H115" s="178"/>
    </row>
    <row r="116" spans="2:8" ht="15.75">
      <c r="B116" s="5" t="s">
        <v>70</v>
      </c>
      <c r="C116" s="6">
        <v>45969</v>
      </c>
      <c r="D116" s="482">
        <v>81206455</v>
      </c>
      <c r="E116" s="483"/>
      <c r="F116" s="93">
        <v>82</v>
      </c>
      <c r="G116" s="13">
        <v>407779</v>
      </c>
      <c r="H116" s="178"/>
    </row>
    <row r="117" spans="2:8" ht="15.75">
      <c r="B117" s="5" t="s">
        <v>71</v>
      </c>
      <c r="C117" s="6">
        <v>45999</v>
      </c>
      <c r="D117" s="482">
        <v>81206831</v>
      </c>
      <c r="E117" s="483"/>
      <c r="F117" s="93">
        <v>35</v>
      </c>
      <c r="G117" s="13">
        <v>158437</v>
      </c>
      <c r="H117" s="178"/>
    </row>
    <row r="118" spans="2:8" ht="15.75">
      <c r="B118" s="5" t="s">
        <v>100</v>
      </c>
      <c r="C118" s="6">
        <v>45999</v>
      </c>
      <c r="D118" s="482">
        <v>81206896</v>
      </c>
      <c r="E118" s="483"/>
      <c r="F118" s="93">
        <v>95</v>
      </c>
      <c r="G118" s="13">
        <v>310854</v>
      </c>
      <c r="H118" s="178"/>
    </row>
    <row r="119" spans="2:8" ht="15.75">
      <c r="B119" s="5" t="s">
        <v>101</v>
      </c>
      <c r="C119" s="6">
        <v>45999</v>
      </c>
      <c r="D119" s="482">
        <v>81206800</v>
      </c>
      <c r="E119" s="483"/>
      <c r="F119" s="97">
        <v>72</v>
      </c>
      <c r="G119" s="13">
        <v>309694</v>
      </c>
      <c r="H119" s="178"/>
    </row>
    <row r="120" spans="2:8" ht="15.75">
      <c r="B120" s="5" t="s">
        <v>102</v>
      </c>
      <c r="C120" s="6">
        <v>45999</v>
      </c>
      <c r="D120" s="482">
        <v>81206979</v>
      </c>
      <c r="E120" s="483"/>
      <c r="F120" s="97">
        <v>5</v>
      </c>
      <c r="G120" s="13">
        <v>19089</v>
      </c>
      <c r="H120" s="178"/>
    </row>
    <row r="121" spans="2:8" ht="15.75">
      <c r="B121" s="5" t="s">
        <v>106</v>
      </c>
      <c r="C121" s="15" t="s">
        <v>248</v>
      </c>
      <c r="D121" s="482">
        <v>81208072</v>
      </c>
      <c r="E121" s="483"/>
      <c r="F121" s="97">
        <v>68</v>
      </c>
      <c r="G121" s="13">
        <v>228671</v>
      </c>
      <c r="H121" s="178"/>
    </row>
    <row r="122" spans="2:8" ht="15.75">
      <c r="B122" s="5" t="s">
        <v>114</v>
      </c>
      <c r="C122" s="15" t="s">
        <v>248</v>
      </c>
      <c r="D122" s="482">
        <v>81207983</v>
      </c>
      <c r="E122" s="483"/>
      <c r="F122" s="97">
        <v>59</v>
      </c>
      <c r="G122" s="13">
        <v>271061</v>
      </c>
      <c r="H122" s="178"/>
    </row>
    <row r="123" spans="2:8" ht="15.75">
      <c r="B123" s="5" t="s">
        <v>115</v>
      </c>
      <c r="C123" s="15" t="s">
        <v>256</v>
      </c>
      <c r="D123" s="482">
        <v>81208956</v>
      </c>
      <c r="E123" s="483"/>
      <c r="F123" s="97">
        <v>38</v>
      </c>
      <c r="G123" s="13">
        <v>192415</v>
      </c>
      <c r="H123" s="178"/>
    </row>
    <row r="124" spans="2:8" ht="15.75">
      <c r="B124" s="5" t="s">
        <v>117</v>
      </c>
      <c r="C124" s="15" t="s">
        <v>256</v>
      </c>
      <c r="D124" s="482">
        <v>81208571</v>
      </c>
      <c r="E124" s="483"/>
      <c r="F124" s="101">
        <v>8</v>
      </c>
      <c r="G124" s="13">
        <v>30542</v>
      </c>
      <c r="H124" s="178"/>
    </row>
    <row r="125" spans="2:8" ht="15.75">
      <c r="B125" s="5" t="s">
        <v>118</v>
      </c>
      <c r="C125" s="15" t="s">
        <v>256</v>
      </c>
      <c r="D125" s="482">
        <v>81208503</v>
      </c>
      <c r="E125" s="483"/>
      <c r="F125" s="101">
        <v>37</v>
      </c>
      <c r="G125" s="13">
        <v>138097</v>
      </c>
      <c r="H125" s="178"/>
    </row>
    <row r="126" spans="2:8" ht="15.75">
      <c r="B126" s="5" t="s">
        <v>120</v>
      </c>
      <c r="C126" s="15" t="s">
        <v>256</v>
      </c>
      <c r="D126" s="482">
        <v>81208868</v>
      </c>
      <c r="E126" s="483"/>
      <c r="F126" s="101">
        <v>8</v>
      </c>
      <c r="G126" s="13">
        <v>30542</v>
      </c>
      <c r="H126" s="178"/>
    </row>
    <row r="127" spans="2:8" ht="15.75">
      <c r="B127" s="5" t="s">
        <v>121</v>
      </c>
      <c r="C127" s="15" t="s">
        <v>256</v>
      </c>
      <c r="D127" s="482">
        <v>81208748</v>
      </c>
      <c r="E127" s="483"/>
      <c r="F127" s="101">
        <v>52</v>
      </c>
      <c r="G127" s="13">
        <v>270043</v>
      </c>
      <c r="H127" s="178"/>
    </row>
    <row r="128" spans="2:8" ht="15.75">
      <c r="B128" s="5" t="s">
        <v>124</v>
      </c>
      <c r="C128" s="15" t="s">
        <v>256</v>
      </c>
      <c r="D128" s="482">
        <v>81208817</v>
      </c>
      <c r="E128" s="483"/>
      <c r="F128" s="101">
        <v>132</v>
      </c>
      <c r="G128" s="13">
        <v>485709</v>
      </c>
      <c r="H128" s="178"/>
    </row>
    <row r="129" spans="2:12" ht="15.75">
      <c r="B129" s="5" t="s">
        <v>125</v>
      </c>
      <c r="C129" s="15" t="s">
        <v>258</v>
      </c>
      <c r="D129" s="482">
        <v>81209422</v>
      </c>
      <c r="E129" s="483"/>
      <c r="F129" s="101">
        <v>210</v>
      </c>
      <c r="G129" s="13">
        <v>755335</v>
      </c>
      <c r="H129" s="178"/>
    </row>
    <row r="130" spans="2:12" ht="15.75">
      <c r="B130" s="5" t="s">
        <v>144</v>
      </c>
      <c r="C130" s="15" t="s">
        <v>258</v>
      </c>
      <c r="D130" s="482">
        <v>81209466</v>
      </c>
      <c r="E130" s="483"/>
      <c r="F130" s="101">
        <v>84</v>
      </c>
      <c r="G130" s="13">
        <v>411237</v>
      </c>
      <c r="H130" s="178"/>
    </row>
    <row r="131" spans="2:12" ht="15.75">
      <c r="B131" s="5" t="s">
        <v>145</v>
      </c>
      <c r="C131" s="15" t="s">
        <v>291</v>
      </c>
      <c r="D131" s="482">
        <v>81210719</v>
      </c>
      <c r="E131" s="483"/>
      <c r="F131" s="101">
        <v>12</v>
      </c>
      <c r="G131" s="13">
        <v>42473</v>
      </c>
      <c r="H131" s="178"/>
    </row>
    <row r="132" spans="2:12" ht="15.75">
      <c r="B132" s="5" t="s">
        <v>150</v>
      </c>
      <c r="C132" s="15" t="s">
        <v>291</v>
      </c>
      <c r="D132" s="482">
        <v>81210550</v>
      </c>
      <c r="E132" s="483"/>
      <c r="F132" s="101">
        <v>111</v>
      </c>
      <c r="G132" s="13">
        <v>471026</v>
      </c>
      <c r="H132" s="178"/>
    </row>
    <row r="133" spans="2:12" ht="15.75">
      <c r="B133" s="5" t="s">
        <v>151</v>
      </c>
      <c r="C133" s="15" t="s">
        <v>291</v>
      </c>
      <c r="D133" s="482">
        <v>81210626</v>
      </c>
      <c r="E133" s="483"/>
      <c r="F133" s="101">
        <v>20</v>
      </c>
      <c r="G133" s="13">
        <v>76355</v>
      </c>
      <c r="H133" s="178"/>
    </row>
    <row r="134" spans="2:12" ht="15.75">
      <c r="B134" s="5" t="s">
        <v>152</v>
      </c>
      <c r="C134" s="15" t="s">
        <v>296</v>
      </c>
      <c r="D134" s="482">
        <v>81211252</v>
      </c>
      <c r="E134" s="483"/>
      <c r="F134" s="111">
        <v>95</v>
      </c>
      <c r="G134" s="13">
        <v>424450</v>
      </c>
      <c r="H134" s="178"/>
    </row>
    <row r="135" spans="2:12" ht="15.75">
      <c r="B135" s="5" t="s">
        <v>153</v>
      </c>
      <c r="C135" s="15" t="s">
        <v>296</v>
      </c>
      <c r="D135" s="482">
        <v>81211183</v>
      </c>
      <c r="E135" s="483"/>
      <c r="F135" s="111">
        <v>147</v>
      </c>
      <c r="G135" s="13">
        <v>517348</v>
      </c>
      <c r="H135" s="178"/>
    </row>
    <row r="136" spans="2:12" ht="15.75">
      <c r="B136" s="5" t="s">
        <v>160</v>
      </c>
      <c r="C136" s="15" t="s">
        <v>296</v>
      </c>
      <c r="D136" s="482">
        <v>81211412</v>
      </c>
      <c r="E136" s="483"/>
      <c r="F136" s="111">
        <v>10</v>
      </c>
      <c r="G136" s="13">
        <v>38178</v>
      </c>
      <c r="H136" s="178"/>
    </row>
    <row r="137" spans="2:12" ht="15.75">
      <c r="B137" s="5" t="s">
        <v>161</v>
      </c>
      <c r="C137" s="15" t="s">
        <v>296</v>
      </c>
      <c r="D137" s="482">
        <v>81211201</v>
      </c>
      <c r="E137" s="483"/>
      <c r="F137" s="111">
        <v>68</v>
      </c>
      <c r="G137" s="13">
        <v>271750</v>
      </c>
      <c r="H137" s="178"/>
    </row>
    <row r="138" spans="2:12" ht="15.75">
      <c r="B138" s="5" t="s">
        <v>162</v>
      </c>
      <c r="C138" s="15" t="s">
        <v>297</v>
      </c>
      <c r="D138" s="482">
        <v>81212300</v>
      </c>
      <c r="E138" s="483"/>
      <c r="F138" s="111">
        <v>62</v>
      </c>
      <c r="G138" s="13">
        <v>228060</v>
      </c>
      <c r="H138" s="178"/>
    </row>
    <row r="139" spans="2:12" ht="15.75">
      <c r="B139" s="5" t="s">
        <v>163</v>
      </c>
      <c r="C139" s="15" t="s">
        <v>303</v>
      </c>
      <c r="D139" s="482">
        <v>81212929</v>
      </c>
      <c r="E139" s="483"/>
      <c r="F139" s="121">
        <v>43</v>
      </c>
      <c r="G139" s="13">
        <v>187070</v>
      </c>
      <c r="H139" s="178"/>
    </row>
    <row r="140" spans="2:12" ht="15.75">
      <c r="B140" s="5" t="s">
        <v>175</v>
      </c>
      <c r="C140" s="15" t="s">
        <v>316</v>
      </c>
      <c r="D140" s="482">
        <v>81213524</v>
      </c>
      <c r="E140" s="483"/>
      <c r="F140" s="121">
        <v>124</v>
      </c>
      <c r="G140" s="13">
        <v>454088</v>
      </c>
      <c r="H140" s="178"/>
    </row>
    <row r="141" spans="2:12" ht="15.75">
      <c r="B141" s="5" t="s">
        <v>300</v>
      </c>
      <c r="C141" s="15" t="s">
        <v>316</v>
      </c>
      <c r="D141" s="482">
        <v>81213567</v>
      </c>
      <c r="E141" s="483"/>
      <c r="F141" s="121">
        <v>40</v>
      </c>
      <c r="G141" s="13">
        <v>143166</v>
      </c>
      <c r="H141" s="178"/>
    </row>
    <row r="142" spans="2:12" ht="15.75">
      <c r="B142" s="5" t="s">
        <v>301</v>
      </c>
      <c r="C142" s="15" t="s">
        <v>316</v>
      </c>
      <c r="D142" s="482">
        <v>81213751</v>
      </c>
      <c r="E142" s="483"/>
      <c r="F142" s="121">
        <v>20</v>
      </c>
      <c r="G142" s="13">
        <v>76355</v>
      </c>
      <c r="H142" s="178"/>
    </row>
    <row r="143" spans="2:12" ht="15.75">
      <c r="B143" s="5" t="s">
        <v>302</v>
      </c>
      <c r="C143" s="15" t="s">
        <v>316</v>
      </c>
      <c r="D143" s="482">
        <v>81213657</v>
      </c>
      <c r="E143" s="483"/>
      <c r="F143" s="121">
        <v>75</v>
      </c>
      <c r="G143" s="13">
        <v>336281</v>
      </c>
      <c r="H143" s="178"/>
      <c r="L143">
        <v>336281</v>
      </c>
    </row>
    <row r="144" spans="2:12" ht="15.75">
      <c r="B144" s="5" t="s">
        <v>320</v>
      </c>
      <c r="C144" s="15" t="s">
        <v>319</v>
      </c>
      <c r="D144" s="482">
        <v>81214218</v>
      </c>
      <c r="E144" s="483"/>
      <c r="F144" s="127">
        <v>35</v>
      </c>
      <c r="G144" s="13">
        <v>119570</v>
      </c>
      <c r="H144" s="178"/>
    </row>
    <row r="145" spans="2:8" ht="15.75">
      <c r="B145" s="5" t="s">
        <v>321</v>
      </c>
      <c r="C145" s="15" t="s">
        <v>319</v>
      </c>
      <c r="D145" s="482">
        <v>81214394</v>
      </c>
      <c r="E145" s="483"/>
      <c r="F145" s="127">
        <v>40</v>
      </c>
      <c r="G145" s="13">
        <v>152710</v>
      </c>
      <c r="H145" s="178"/>
    </row>
    <row r="146" spans="2:8" ht="15.75">
      <c r="B146" s="5" t="s">
        <v>322</v>
      </c>
      <c r="C146" s="15" t="s">
        <v>319</v>
      </c>
      <c r="D146" s="482">
        <v>81214266</v>
      </c>
      <c r="E146" s="483"/>
      <c r="F146" s="127">
        <v>38</v>
      </c>
      <c r="G146" s="13">
        <v>164164</v>
      </c>
      <c r="H146" s="178"/>
    </row>
    <row r="147" spans="2:8" ht="15.75">
      <c r="B147" s="5" t="s">
        <v>323</v>
      </c>
      <c r="C147" s="15" t="s">
        <v>319</v>
      </c>
      <c r="D147" s="482">
        <v>81214182</v>
      </c>
      <c r="E147" s="483"/>
      <c r="F147" s="88">
        <v>62</v>
      </c>
      <c r="G147" s="13">
        <v>233452</v>
      </c>
      <c r="H147" s="178"/>
    </row>
    <row r="148" spans="2:8" ht="15.75">
      <c r="B148" s="5" t="s">
        <v>357</v>
      </c>
      <c r="C148" s="15" t="s">
        <v>349</v>
      </c>
      <c r="D148" s="482">
        <v>81215563</v>
      </c>
      <c r="E148" s="483"/>
      <c r="F148" s="151">
        <v>59</v>
      </c>
      <c r="G148" s="13">
        <v>240837</v>
      </c>
      <c r="H148" s="178"/>
    </row>
    <row r="149" spans="2:8" ht="15.75">
      <c r="B149" s="5" t="s">
        <v>358</v>
      </c>
      <c r="C149" s="15" t="s">
        <v>349</v>
      </c>
      <c r="D149" s="482">
        <v>81215355</v>
      </c>
      <c r="E149" s="483"/>
      <c r="F149" s="151">
        <v>73</v>
      </c>
      <c r="G149" s="13">
        <v>265346</v>
      </c>
      <c r="H149" s="178"/>
    </row>
    <row r="150" spans="2:8" ht="15.75">
      <c r="B150" s="5" t="s">
        <v>359</v>
      </c>
      <c r="C150" s="15" t="s">
        <v>349</v>
      </c>
      <c r="D150" s="482">
        <v>81215376</v>
      </c>
      <c r="E150" s="483"/>
      <c r="F150" s="151">
        <v>50</v>
      </c>
      <c r="G150" s="13">
        <v>274592</v>
      </c>
      <c r="H150" s="178"/>
    </row>
    <row r="151" spans="2:8" ht="15.75">
      <c r="B151" s="5" t="s">
        <v>360</v>
      </c>
      <c r="C151" s="15" t="s">
        <v>291</v>
      </c>
      <c r="D151" s="482">
        <v>81210707</v>
      </c>
      <c r="E151" s="483"/>
      <c r="F151" s="151">
        <v>25</v>
      </c>
      <c r="G151" s="13">
        <v>0</v>
      </c>
      <c r="H151" s="178" t="s">
        <v>354</v>
      </c>
    </row>
    <row r="152" spans="2:8" ht="15.75">
      <c r="B152" s="5" t="s">
        <v>361</v>
      </c>
      <c r="C152" s="15" t="s">
        <v>365</v>
      </c>
      <c r="D152" s="482">
        <v>81216102</v>
      </c>
      <c r="E152" s="483"/>
      <c r="F152" s="151">
        <v>15</v>
      </c>
      <c r="G152" s="13">
        <v>74553</v>
      </c>
      <c r="H152" s="178"/>
    </row>
    <row r="153" spans="2:8" ht="15.75">
      <c r="B153" s="5" t="s">
        <v>362</v>
      </c>
      <c r="C153" s="15" t="s">
        <v>365</v>
      </c>
      <c r="D153" s="482">
        <v>81216230</v>
      </c>
      <c r="E153" s="483"/>
      <c r="F153" s="151">
        <v>60</v>
      </c>
      <c r="G153" s="13">
        <v>225666</v>
      </c>
      <c r="H153" s="178"/>
    </row>
    <row r="154" spans="2:8" ht="15.75">
      <c r="B154" s="5" t="s">
        <v>363</v>
      </c>
      <c r="C154" s="15" t="s">
        <v>368</v>
      </c>
      <c r="D154" s="482">
        <v>81217168</v>
      </c>
      <c r="E154" s="483"/>
      <c r="F154" s="151">
        <v>44</v>
      </c>
      <c r="G154" s="13">
        <v>183359</v>
      </c>
      <c r="H154" s="178"/>
    </row>
    <row r="155" spans="2:8" ht="15.75">
      <c r="B155" s="5" t="s">
        <v>364</v>
      </c>
      <c r="C155" s="15" t="s">
        <v>368</v>
      </c>
      <c r="D155" s="482">
        <v>81217314</v>
      </c>
      <c r="E155" s="483"/>
      <c r="F155" s="151">
        <v>101</v>
      </c>
      <c r="G155" s="13">
        <v>396031</v>
      </c>
      <c r="H155" s="178"/>
    </row>
    <row r="156" spans="2:8" ht="15.75">
      <c r="B156" s="5" t="s">
        <v>371</v>
      </c>
      <c r="C156" s="15" t="s">
        <v>375</v>
      </c>
      <c r="D156" s="482">
        <v>81218101</v>
      </c>
      <c r="E156" s="483"/>
      <c r="F156" s="69">
        <v>40</v>
      </c>
      <c r="G156" s="13">
        <v>194918</v>
      </c>
      <c r="H156" s="178"/>
    </row>
    <row r="157" spans="2:8" ht="15.75">
      <c r="B157" s="5" t="s">
        <v>372</v>
      </c>
      <c r="C157" s="15" t="s">
        <v>375</v>
      </c>
      <c r="D157" s="482">
        <v>81218112</v>
      </c>
      <c r="E157" s="483"/>
      <c r="F157" s="165">
        <v>60</v>
      </c>
      <c r="G157" s="13">
        <v>219294</v>
      </c>
      <c r="H157" s="178"/>
    </row>
    <row r="158" spans="2:8" ht="15.75">
      <c r="B158" s="5" t="s">
        <v>373</v>
      </c>
      <c r="C158" s="15" t="s">
        <v>375</v>
      </c>
      <c r="D158" s="482">
        <v>81217451</v>
      </c>
      <c r="E158" s="483"/>
      <c r="F158" s="165">
        <v>59</v>
      </c>
      <c r="G158" s="13">
        <v>244877</v>
      </c>
      <c r="H158" s="178"/>
    </row>
    <row r="159" spans="2:8" ht="15.75">
      <c r="B159" s="5" t="s">
        <v>374</v>
      </c>
      <c r="C159" s="15" t="s">
        <v>375</v>
      </c>
      <c r="D159" s="482">
        <v>81217994</v>
      </c>
      <c r="E159" s="483"/>
      <c r="F159" s="165">
        <v>10</v>
      </c>
      <c r="G159" s="13">
        <v>38178</v>
      </c>
      <c r="H159" s="178"/>
    </row>
    <row r="160" spans="2:8" ht="15.75">
      <c r="B160" s="5" t="s">
        <v>383</v>
      </c>
      <c r="C160" s="15" t="s">
        <v>385</v>
      </c>
      <c r="D160" s="482">
        <v>81218954</v>
      </c>
      <c r="E160" s="483"/>
      <c r="F160" s="165">
        <v>18</v>
      </c>
      <c r="G160" s="13">
        <v>63184</v>
      </c>
      <c r="H160" s="178"/>
    </row>
    <row r="161" spans="2:12" ht="15.75">
      <c r="B161" s="5" t="s">
        <v>384</v>
      </c>
      <c r="C161" s="15" t="s">
        <v>385</v>
      </c>
      <c r="D161" s="482">
        <v>81218869</v>
      </c>
      <c r="E161" s="483"/>
      <c r="F161" s="165">
        <v>56</v>
      </c>
      <c r="G161" s="13">
        <v>200140</v>
      </c>
      <c r="H161" s="178"/>
    </row>
    <row r="162" spans="2:12" ht="15.75">
      <c r="B162" s="5" t="s">
        <v>391</v>
      </c>
      <c r="C162" s="15" t="s">
        <v>393</v>
      </c>
      <c r="D162" s="482">
        <v>81219699</v>
      </c>
      <c r="E162" s="483"/>
      <c r="F162" s="165">
        <v>45</v>
      </c>
      <c r="G162" s="13">
        <v>140382</v>
      </c>
      <c r="H162" s="178"/>
    </row>
    <row r="163" spans="2:12" ht="15.75">
      <c r="B163" s="5" t="s">
        <v>392</v>
      </c>
      <c r="C163" s="15" t="s">
        <v>394</v>
      </c>
      <c r="D163" s="482">
        <v>81219684</v>
      </c>
      <c r="E163" s="483"/>
      <c r="F163" s="165">
        <v>10</v>
      </c>
      <c r="G163" s="13">
        <v>19089</v>
      </c>
      <c r="H163" s="178"/>
    </row>
    <row r="164" spans="2:12" ht="15.75">
      <c r="B164" s="5" t="s">
        <v>400</v>
      </c>
      <c r="C164" s="15" t="s">
        <v>394</v>
      </c>
      <c r="D164" s="482">
        <v>81219922</v>
      </c>
      <c r="E164" s="483"/>
      <c r="F164" s="165">
        <v>12</v>
      </c>
      <c r="G164" s="13">
        <v>45813</v>
      </c>
      <c r="H164" s="178"/>
    </row>
    <row r="165" spans="2:12" ht="15.75">
      <c r="B165" s="5" t="s">
        <v>401</v>
      </c>
      <c r="C165" s="15" t="s">
        <v>394</v>
      </c>
      <c r="D165" s="482">
        <v>81219921</v>
      </c>
      <c r="E165" s="483"/>
      <c r="F165" s="175">
        <v>10</v>
      </c>
      <c r="G165" s="13">
        <v>38178</v>
      </c>
      <c r="H165" s="178"/>
    </row>
    <row r="166" spans="2:12" ht="15.75">
      <c r="B166" s="5" t="s">
        <v>402</v>
      </c>
      <c r="C166" s="15" t="s">
        <v>394</v>
      </c>
      <c r="D166" s="482">
        <v>81219663</v>
      </c>
      <c r="E166" s="483"/>
      <c r="F166" s="175">
        <v>35</v>
      </c>
      <c r="G166" s="13">
        <v>237655</v>
      </c>
      <c r="H166" s="178"/>
    </row>
    <row r="167" spans="2:12" ht="15.75">
      <c r="B167" s="5" t="s">
        <v>403</v>
      </c>
      <c r="C167" s="15" t="s">
        <v>394</v>
      </c>
      <c r="D167" s="482">
        <v>81220252</v>
      </c>
      <c r="E167" s="483"/>
      <c r="F167" s="175">
        <v>45</v>
      </c>
      <c r="G167" s="13">
        <v>114533</v>
      </c>
      <c r="H167" s="178"/>
    </row>
    <row r="168" spans="2:12" ht="15.75">
      <c r="B168" s="5" t="s">
        <v>411</v>
      </c>
      <c r="C168" s="15" t="s">
        <v>394</v>
      </c>
      <c r="D168" s="482">
        <v>81220628</v>
      </c>
      <c r="E168" s="483"/>
      <c r="F168" s="176">
        <v>15</v>
      </c>
      <c r="G168" s="13">
        <v>51858</v>
      </c>
      <c r="H168" s="178"/>
    </row>
    <row r="169" spans="2:12" ht="15.75">
      <c r="B169" s="5" t="s">
        <v>412</v>
      </c>
      <c r="C169" s="15" t="s">
        <v>394</v>
      </c>
      <c r="D169" s="482">
        <v>81220436</v>
      </c>
      <c r="E169" s="483"/>
      <c r="F169" s="176">
        <v>35</v>
      </c>
      <c r="G169" s="13">
        <v>125270</v>
      </c>
      <c r="H169" s="178"/>
    </row>
    <row r="170" spans="2:12" ht="15.75">
      <c r="B170" s="5"/>
      <c r="C170" s="15"/>
      <c r="D170" s="176"/>
      <c r="E170" s="177"/>
      <c r="F170" s="176"/>
      <c r="G170" s="13"/>
      <c r="H170" s="178"/>
    </row>
    <row r="171" spans="2:12" ht="15.75">
      <c r="B171" s="5"/>
      <c r="C171" s="15"/>
      <c r="D171" s="482"/>
      <c r="E171" s="483"/>
      <c r="F171" s="165"/>
      <c r="G171" s="13"/>
      <c r="H171" s="8"/>
    </row>
    <row r="172" spans="2:12" ht="15.75">
      <c r="B172" s="5"/>
      <c r="C172" s="8"/>
      <c r="D172" s="8"/>
      <c r="E172" s="8"/>
      <c r="F172" s="166">
        <f>SUM(F94:F169)</f>
        <v>4429</v>
      </c>
      <c r="G172" s="9">
        <f>SUM(G94:G169)</f>
        <v>17520371</v>
      </c>
      <c r="H172" s="8"/>
      <c r="L172" s="215">
        <f>+F172-25</f>
        <v>4404</v>
      </c>
    </row>
    <row r="173" spans="2:12" ht="15.75">
      <c r="B173" s="501" t="s">
        <v>9</v>
      </c>
      <c r="C173" s="502"/>
      <c r="D173" s="3" t="s">
        <v>0</v>
      </c>
      <c r="E173" s="8"/>
      <c r="F173" s="8"/>
      <c r="G173" s="8"/>
      <c r="H173" s="8"/>
    </row>
    <row r="174" spans="2:12" ht="15.75">
      <c r="B174" s="501"/>
      <c r="C174" s="502"/>
      <c r="D174" s="3"/>
      <c r="E174" s="75"/>
      <c r="F174" s="75"/>
      <c r="G174" s="9"/>
      <c r="H174" s="8"/>
    </row>
    <row r="175" spans="2:12">
      <c r="B175" s="503"/>
      <c r="C175" s="503"/>
      <c r="H175" s="11"/>
    </row>
    <row r="176" spans="2:12" ht="15.75">
      <c r="B176" s="488" t="s">
        <v>260</v>
      </c>
      <c r="C176" s="489"/>
      <c r="D176" s="76"/>
      <c r="E176" s="25"/>
      <c r="F176" s="25"/>
      <c r="G176" s="18">
        <v>13692</v>
      </c>
      <c r="H176" s="11"/>
    </row>
    <row r="177" spans="2:8" ht="15.75">
      <c r="B177" s="488" t="s">
        <v>181</v>
      </c>
      <c r="C177" s="489"/>
      <c r="D177" s="76">
        <v>45870</v>
      </c>
      <c r="E177" s="25"/>
      <c r="F177" s="25"/>
      <c r="G177" s="18">
        <v>700000</v>
      </c>
      <c r="H177" s="11"/>
    </row>
    <row r="178" spans="2:8" ht="15.75">
      <c r="B178" s="488" t="s">
        <v>191</v>
      </c>
      <c r="C178" s="489"/>
      <c r="D178" s="76">
        <v>45870</v>
      </c>
      <c r="E178" s="40"/>
      <c r="F178" s="40"/>
      <c r="G178" s="18">
        <v>500000</v>
      </c>
      <c r="H178" s="11"/>
    </row>
    <row r="179" spans="2:8" ht="15.75">
      <c r="B179" s="490" t="s">
        <v>201</v>
      </c>
      <c r="C179" s="491"/>
      <c r="D179" s="76">
        <v>45871</v>
      </c>
      <c r="E179" s="40"/>
      <c r="F179" s="40"/>
      <c r="G179" s="18">
        <v>600000</v>
      </c>
      <c r="H179" s="11"/>
    </row>
    <row r="180" spans="2:8" ht="15.75">
      <c r="B180" s="488" t="s">
        <v>202</v>
      </c>
      <c r="C180" s="489"/>
      <c r="D180" s="76">
        <v>45873</v>
      </c>
      <c r="E180" s="40"/>
      <c r="F180" s="40"/>
      <c r="G180" s="18">
        <v>1500000</v>
      </c>
      <c r="H180" s="11"/>
    </row>
    <row r="181" spans="2:8" ht="15.75">
      <c r="B181" s="490" t="s">
        <v>201</v>
      </c>
      <c r="C181" s="491"/>
      <c r="D181" s="76">
        <v>45874</v>
      </c>
      <c r="E181" s="40"/>
      <c r="F181" s="40"/>
      <c r="G181" s="18">
        <v>650000</v>
      </c>
      <c r="H181" s="11"/>
    </row>
    <row r="182" spans="2:8" ht="15.75">
      <c r="B182" s="488" t="s">
        <v>206</v>
      </c>
      <c r="C182" s="489"/>
      <c r="D182" s="76">
        <v>45876</v>
      </c>
      <c r="E182" s="40"/>
      <c r="F182" s="40"/>
      <c r="G182" s="18">
        <v>700000</v>
      </c>
      <c r="H182" s="11"/>
    </row>
    <row r="183" spans="2:8" ht="15.75">
      <c r="B183" s="490" t="s">
        <v>201</v>
      </c>
      <c r="C183" s="491"/>
      <c r="D183" s="76">
        <v>45876</v>
      </c>
      <c r="E183" s="40"/>
      <c r="F183" s="40"/>
      <c r="G183" s="18">
        <v>300000</v>
      </c>
      <c r="H183" s="11"/>
    </row>
    <row r="184" spans="2:8" ht="15.75">
      <c r="B184" s="488" t="s">
        <v>219</v>
      </c>
      <c r="C184" s="489"/>
      <c r="D184" s="76">
        <v>45877</v>
      </c>
      <c r="E184" s="40"/>
      <c r="F184" s="40"/>
      <c r="G184" s="18">
        <v>700000</v>
      </c>
      <c r="H184" s="11"/>
    </row>
    <row r="185" spans="2:8" ht="15.75">
      <c r="B185" s="490" t="s">
        <v>201</v>
      </c>
      <c r="C185" s="491"/>
      <c r="D185" s="76">
        <v>45878</v>
      </c>
      <c r="E185" s="40"/>
      <c r="F185" s="40"/>
      <c r="G185" s="18">
        <v>980000</v>
      </c>
      <c r="H185" s="11"/>
    </row>
    <row r="186" spans="2:8" ht="15.75">
      <c r="B186" s="488" t="s">
        <v>231</v>
      </c>
      <c r="C186" s="489"/>
      <c r="D186" s="76">
        <v>45880</v>
      </c>
      <c r="E186" s="40"/>
      <c r="F186" s="40"/>
      <c r="G186" s="18">
        <v>800000</v>
      </c>
      <c r="H186" s="11"/>
    </row>
    <row r="187" spans="2:8" ht="15.75">
      <c r="B187" s="488" t="s">
        <v>240</v>
      </c>
      <c r="C187" s="489"/>
      <c r="D187" s="76">
        <v>45881</v>
      </c>
      <c r="E187" s="40"/>
      <c r="F187" s="40"/>
      <c r="G187" s="18">
        <v>650000</v>
      </c>
      <c r="H187" s="11"/>
    </row>
    <row r="188" spans="2:8" ht="15.75">
      <c r="B188" s="488" t="s">
        <v>254</v>
      </c>
      <c r="C188" s="489"/>
      <c r="D188" s="76">
        <v>45882</v>
      </c>
      <c r="E188" s="40"/>
      <c r="F188" s="40"/>
      <c r="G188" s="18">
        <v>1000000</v>
      </c>
      <c r="H188" s="11"/>
    </row>
    <row r="189" spans="2:8" ht="15.75">
      <c r="B189" s="488" t="s">
        <v>255</v>
      </c>
      <c r="C189" s="489"/>
      <c r="D189" s="76">
        <v>45884</v>
      </c>
      <c r="E189" s="40"/>
      <c r="F189" s="40"/>
      <c r="G189" s="18">
        <v>700000</v>
      </c>
      <c r="H189" s="11"/>
    </row>
    <row r="190" spans="2:8" ht="15.75">
      <c r="B190" s="488" t="s">
        <v>257</v>
      </c>
      <c r="C190" s="489"/>
      <c r="D190" s="76">
        <v>45884</v>
      </c>
      <c r="E190" s="40"/>
      <c r="F190" s="40"/>
      <c r="G190" s="18">
        <v>1000000</v>
      </c>
      <c r="H190" s="11"/>
    </row>
    <row r="191" spans="2:8" ht="15.75">
      <c r="B191" s="490" t="s">
        <v>201</v>
      </c>
      <c r="C191" s="491"/>
      <c r="D191" s="76">
        <v>45885</v>
      </c>
      <c r="E191" s="40"/>
      <c r="F191" s="40"/>
      <c r="G191" s="18">
        <v>100000</v>
      </c>
      <c r="H191" s="11"/>
    </row>
    <row r="192" spans="2:8" ht="15.75">
      <c r="B192" s="488" t="s">
        <v>286</v>
      </c>
      <c r="C192" s="489"/>
      <c r="D192" s="76">
        <v>45887</v>
      </c>
      <c r="E192" s="40"/>
      <c r="F192" s="40"/>
      <c r="G192" s="18">
        <v>1200000</v>
      </c>
      <c r="H192" s="11"/>
    </row>
    <row r="193" spans="2:8" ht="15.75">
      <c r="B193" s="488" t="s">
        <v>295</v>
      </c>
      <c r="C193" s="489"/>
      <c r="D193" s="76">
        <v>45888</v>
      </c>
      <c r="E193" s="40"/>
      <c r="F193" s="40"/>
      <c r="G193" s="18">
        <v>550000</v>
      </c>
      <c r="H193" s="11"/>
    </row>
    <row r="194" spans="2:8" ht="15.75">
      <c r="B194" s="488" t="s">
        <v>299</v>
      </c>
      <c r="C194" s="489"/>
      <c r="D194" s="76">
        <v>45890</v>
      </c>
      <c r="E194" s="40"/>
      <c r="F194" s="40"/>
      <c r="G194" s="18">
        <v>725000</v>
      </c>
      <c r="H194" s="11"/>
    </row>
    <row r="195" spans="2:8" ht="15.75">
      <c r="B195" s="488" t="s">
        <v>313</v>
      </c>
      <c r="C195" s="489"/>
      <c r="D195" s="76">
        <v>45891</v>
      </c>
      <c r="E195" s="40"/>
      <c r="F195" s="40"/>
      <c r="G195" s="18">
        <v>525000</v>
      </c>
      <c r="H195" s="11"/>
    </row>
    <row r="196" spans="2:8" ht="15.75">
      <c r="B196" s="490" t="s">
        <v>201</v>
      </c>
      <c r="C196" s="491"/>
      <c r="D196" s="76">
        <v>45892</v>
      </c>
      <c r="E196" s="40"/>
      <c r="F196" s="40"/>
      <c r="G196" s="18">
        <v>780000</v>
      </c>
      <c r="H196" s="11"/>
    </row>
    <row r="197" spans="2:8" ht="15.75">
      <c r="B197" s="488" t="s">
        <v>334</v>
      </c>
      <c r="C197" s="489"/>
      <c r="D197" s="76">
        <v>45894</v>
      </c>
      <c r="E197" s="40"/>
      <c r="F197" s="40"/>
      <c r="G197" s="18">
        <v>372000</v>
      </c>
      <c r="H197" s="11"/>
    </row>
    <row r="198" spans="2:8" ht="15.75">
      <c r="B198" s="488" t="s">
        <v>355</v>
      </c>
      <c r="C198" s="489"/>
      <c r="D198" s="76">
        <v>45895</v>
      </c>
      <c r="E198" s="40"/>
      <c r="F198" s="40"/>
      <c r="G198" s="18">
        <v>825000</v>
      </c>
      <c r="H198" s="11"/>
    </row>
    <row r="199" spans="2:8" ht="15.75">
      <c r="B199" s="490" t="s">
        <v>356</v>
      </c>
      <c r="C199" s="491"/>
      <c r="D199" s="76"/>
      <c r="E199" s="40"/>
      <c r="F199" s="40"/>
      <c r="G199" s="18">
        <v>260031</v>
      </c>
      <c r="H199" s="11"/>
    </row>
    <row r="200" spans="2:8" ht="15.75">
      <c r="B200" s="488" t="s">
        <v>355</v>
      </c>
      <c r="C200" s="489"/>
      <c r="D200" s="76">
        <v>45896</v>
      </c>
      <c r="E200" s="40"/>
      <c r="F200" s="40"/>
      <c r="G200" s="18">
        <v>650000</v>
      </c>
      <c r="H200" s="11"/>
    </row>
    <row r="201" spans="2:8" ht="15.75">
      <c r="B201" s="488" t="s">
        <v>370</v>
      </c>
      <c r="C201" s="489"/>
      <c r="D201" s="76">
        <v>45897</v>
      </c>
      <c r="E201" s="40"/>
      <c r="F201" s="40"/>
      <c r="G201" s="18">
        <v>650000</v>
      </c>
      <c r="H201" s="11"/>
    </row>
    <row r="202" spans="2:8" ht="15.75">
      <c r="B202" s="488" t="s">
        <v>386</v>
      </c>
      <c r="C202" s="489"/>
      <c r="D202" s="76">
        <v>45898</v>
      </c>
      <c r="E202" s="40"/>
      <c r="F202" s="40"/>
      <c r="G202" s="18">
        <v>450000</v>
      </c>
      <c r="H202" s="11"/>
    </row>
    <row r="203" spans="2:8" ht="15.75">
      <c r="B203" s="490" t="s">
        <v>201</v>
      </c>
      <c r="C203" s="491"/>
      <c r="D203" s="76">
        <v>45899</v>
      </c>
      <c r="E203" s="40"/>
      <c r="F203" s="40"/>
      <c r="G203" s="18">
        <v>999000</v>
      </c>
      <c r="H203" s="11"/>
    </row>
    <row r="204" spans="2:8" ht="15.75">
      <c r="B204" s="484"/>
      <c r="C204" s="485"/>
      <c r="D204" s="40"/>
      <c r="E204" s="40"/>
      <c r="F204" s="40"/>
      <c r="G204" s="18"/>
      <c r="H204" s="11"/>
    </row>
    <row r="205" spans="2:8" ht="15.75">
      <c r="B205" s="486"/>
      <c r="C205" s="487"/>
      <c r="D205" s="11"/>
      <c r="E205" s="11"/>
      <c r="F205" s="11"/>
      <c r="G205" s="75"/>
      <c r="H205" s="11"/>
    </row>
    <row r="206" spans="2:8">
      <c r="B206" s="10"/>
      <c r="C206" s="11"/>
      <c r="D206" s="11"/>
      <c r="E206" s="11"/>
      <c r="F206" s="11"/>
      <c r="G206" s="11"/>
      <c r="H206" s="11"/>
    </row>
    <row r="207" spans="2:8">
      <c r="B207" s="10"/>
      <c r="C207" s="11"/>
      <c r="D207" s="11"/>
      <c r="E207" s="11"/>
      <c r="F207" s="11"/>
      <c r="G207" s="12">
        <f>SUM(G176:G206)</f>
        <v>18879723</v>
      </c>
      <c r="H207" s="11"/>
    </row>
    <row r="208" spans="2:8">
      <c r="B208" s="10"/>
      <c r="C208" s="27" t="s">
        <v>259</v>
      </c>
      <c r="D208" s="11"/>
      <c r="E208" s="11"/>
      <c r="F208" s="11"/>
      <c r="G208" s="26">
        <f>G207-G172</f>
        <v>1359352</v>
      </c>
      <c r="H208" s="11"/>
    </row>
    <row r="220" spans="12:15" ht="18.75">
      <c r="L220" s="169"/>
    </row>
    <row r="223" spans="12:15">
      <c r="O223" s="78"/>
    </row>
    <row r="241" spans="2:15">
      <c r="M241" s="51"/>
      <c r="N241" s="51"/>
      <c r="O241" s="51"/>
    </row>
    <row r="246" spans="2:15">
      <c r="B246" s="495" t="s">
        <v>395</v>
      </c>
      <c r="C246" s="496"/>
      <c r="D246" s="496"/>
      <c r="E246" s="496"/>
      <c r="F246" s="496"/>
      <c r="G246" s="496"/>
      <c r="H246" s="497"/>
    </row>
    <row r="247" spans="2:15">
      <c r="B247" s="498"/>
      <c r="C247" s="499"/>
      <c r="D247" s="499"/>
      <c r="E247" s="499"/>
      <c r="F247" s="499"/>
      <c r="G247" s="499"/>
      <c r="H247" s="500"/>
    </row>
    <row r="248" spans="2:15" ht="15.75">
      <c r="B248" s="2" t="s">
        <v>18</v>
      </c>
      <c r="C248" s="3" t="s">
        <v>0</v>
      </c>
      <c r="D248" s="492" t="s">
        <v>1</v>
      </c>
      <c r="E248" s="493"/>
      <c r="F248" s="173" t="s">
        <v>5</v>
      </c>
      <c r="G248" s="3" t="s">
        <v>2</v>
      </c>
      <c r="H248" s="3" t="s">
        <v>6</v>
      </c>
    </row>
    <row r="249" spans="2:15" ht="15.75">
      <c r="B249" s="5" t="s">
        <v>184</v>
      </c>
      <c r="C249" s="6">
        <v>45666</v>
      </c>
      <c r="D249" s="482">
        <v>81221698</v>
      </c>
      <c r="E249" s="483"/>
      <c r="F249" s="172">
        <v>175</v>
      </c>
      <c r="G249" s="13">
        <v>670971</v>
      </c>
      <c r="H249" s="178"/>
    </row>
    <row r="250" spans="2:15" ht="15.75">
      <c r="B250" s="5" t="s">
        <v>185</v>
      </c>
      <c r="C250" s="6">
        <v>45666</v>
      </c>
      <c r="D250" s="482">
        <v>81221733</v>
      </c>
      <c r="E250" s="483"/>
      <c r="F250" s="172">
        <v>100</v>
      </c>
      <c r="G250" s="13">
        <v>367849</v>
      </c>
      <c r="H250" s="178"/>
    </row>
    <row r="251" spans="2:15" ht="15.75">
      <c r="B251" s="5" t="s">
        <v>3</v>
      </c>
      <c r="C251" s="6">
        <v>45697</v>
      </c>
      <c r="D251" s="482">
        <v>81222021</v>
      </c>
      <c r="E251" s="483"/>
      <c r="F251" s="172">
        <v>13</v>
      </c>
      <c r="G251" s="13">
        <v>48371</v>
      </c>
      <c r="H251" s="178"/>
    </row>
    <row r="252" spans="2:15" ht="15.75">
      <c r="B252" s="5" t="s">
        <v>4</v>
      </c>
      <c r="C252" s="6">
        <v>45697</v>
      </c>
      <c r="D252" s="482">
        <v>81222032</v>
      </c>
      <c r="E252" s="483"/>
      <c r="F252" s="172">
        <v>76</v>
      </c>
      <c r="G252" s="13">
        <v>307043</v>
      </c>
      <c r="H252" s="178"/>
    </row>
    <row r="253" spans="2:15" ht="15.75">
      <c r="B253" s="5" t="s">
        <v>10</v>
      </c>
      <c r="C253" s="6">
        <v>45697</v>
      </c>
      <c r="D253" s="482">
        <v>81222092</v>
      </c>
      <c r="E253" s="483"/>
      <c r="F253" s="172">
        <v>76</v>
      </c>
      <c r="G253" s="13">
        <v>337617</v>
      </c>
      <c r="H253" s="178"/>
    </row>
    <row r="254" spans="2:15" ht="15.75">
      <c r="B254" s="5" t="s">
        <v>11</v>
      </c>
      <c r="C254" s="6">
        <v>45697</v>
      </c>
      <c r="D254" s="482">
        <v>81222009</v>
      </c>
      <c r="E254" s="483"/>
      <c r="F254" s="172">
        <v>88</v>
      </c>
      <c r="G254" s="13">
        <v>311429</v>
      </c>
      <c r="H254" s="178"/>
    </row>
    <row r="255" spans="2:15" ht="15.75">
      <c r="B255" s="5" t="s">
        <v>12</v>
      </c>
      <c r="C255" s="6">
        <v>45725</v>
      </c>
      <c r="D255" s="482">
        <v>81222670</v>
      </c>
      <c r="E255" s="483"/>
      <c r="F255" s="172">
        <v>55</v>
      </c>
      <c r="G255" s="13">
        <v>202606</v>
      </c>
      <c r="H255" s="178"/>
    </row>
    <row r="256" spans="2:15" ht="15.75">
      <c r="B256" s="5" t="s">
        <v>13</v>
      </c>
      <c r="C256" s="6">
        <v>45725</v>
      </c>
      <c r="D256" s="482">
        <v>81222737</v>
      </c>
      <c r="E256" s="483"/>
      <c r="F256" s="172">
        <v>15</v>
      </c>
      <c r="G256" s="13">
        <v>57266</v>
      </c>
      <c r="H256" s="178"/>
    </row>
    <row r="257" spans="2:8" ht="15.75">
      <c r="B257" s="5" t="s">
        <v>14</v>
      </c>
      <c r="C257" s="6">
        <v>45756</v>
      </c>
      <c r="D257" s="482">
        <v>81223506</v>
      </c>
      <c r="E257" s="483"/>
      <c r="F257" s="179">
        <v>71</v>
      </c>
      <c r="G257" s="13">
        <v>243235</v>
      </c>
      <c r="H257" s="178"/>
    </row>
    <row r="258" spans="2:8" ht="15.75">
      <c r="B258" s="5" t="s">
        <v>15</v>
      </c>
      <c r="C258" s="6">
        <v>45756</v>
      </c>
      <c r="D258" s="482">
        <v>81223642</v>
      </c>
      <c r="E258" s="483"/>
      <c r="F258" s="179">
        <v>39</v>
      </c>
      <c r="G258" s="13">
        <v>179674</v>
      </c>
      <c r="H258" s="178"/>
    </row>
    <row r="259" spans="2:8" ht="15.75">
      <c r="B259" s="5" t="s">
        <v>16</v>
      </c>
      <c r="C259" s="6">
        <v>45756</v>
      </c>
      <c r="D259" s="482">
        <v>81223161</v>
      </c>
      <c r="E259" s="483"/>
      <c r="F259" s="179">
        <v>30</v>
      </c>
      <c r="G259" s="13">
        <v>122168</v>
      </c>
      <c r="H259" s="178"/>
    </row>
    <row r="260" spans="2:8" ht="15.75">
      <c r="B260" s="5" t="s">
        <v>17</v>
      </c>
      <c r="C260" s="6">
        <v>45756</v>
      </c>
      <c r="D260" s="482">
        <v>81222712</v>
      </c>
      <c r="E260" s="483"/>
      <c r="F260" s="179">
        <v>80</v>
      </c>
      <c r="G260" s="13">
        <v>276851</v>
      </c>
      <c r="H260" s="178"/>
    </row>
    <row r="261" spans="2:8" ht="15.75">
      <c r="B261" s="5" t="s">
        <v>44</v>
      </c>
      <c r="C261" s="6">
        <v>45786</v>
      </c>
      <c r="D261" s="482">
        <v>81223828</v>
      </c>
      <c r="E261" s="483"/>
      <c r="F261" s="179">
        <v>54</v>
      </c>
      <c r="G261" s="13">
        <v>208725</v>
      </c>
      <c r="H261" s="178"/>
    </row>
    <row r="262" spans="2:8" ht="15.75">
      <c r="B262" s="5" t="s">
        <v>45</v>
      </c>
      <c r="C262" s="6">
        <v>45786</v>
      </c>
      <c r="D262" s="482">
        <v>81223990</v>
      </c>
      <c r="E262" s="483"/>
      <c r="F262" s="188">
        <v>17</v>
      </c>
      <c r="G262" s="13">
        <v>61962</v>
      </c>
      <c r="H262" s="178"/>
    </row>
    <row r="263" spans="2:8" ht="15.75">
      <c r="B263" s="5" t="s">
        <v>50</v>
      </c>
      <c r="C263" s="6">
        <v>45786</v>
      </c>
      <c r="D263" s="482">
        <v>81224412</v>
      </c>
      <c r="E263" s="483"/>
      <c r="F263" s="188">
        <v>30</v>
      </c>
      <c r="G263" s="13">
        <v>149105</v>
      </c>
      <c r="H263" s="178"/>
    </row>
    <row r="264" spans="2:8" ht="15.75">
      <c r="B264" s="5" t="s">
        <v>52</v>
      </c>
      <c r="C264" s="6">
        <v>45786</v>
      </c>
      <c r="D264" s="482">
        <v>81224377</v>
      </c>
      <c r="E264" s="483"/>
      <c r="F264" s="188">
        <v>106</v>
      </c>
      <c r="G264" s="13">
        <v>441427</v>
      </c>
      <c r="H264" s="178"/>
    </row>
    <row r="265" spans="2:8" ht="15.75">
      <c r="B265" s="5" t="s">
        <v>54</v>
      </c>
      <c r="C265" s="6">
        <v>45909</v>
      </c>
      <c r="D265" s="482">
        <v>81225972</v>
      </c>
      <c r="E265" s="483"/>
      <c r="F265" s="188">
        <v>10</v>
      </c>
      <c r="G265" s="13">
        <v>61890</v>
      </c>
      <c r="H265" s="178"/>
    </row>
    <row r="266" spans="2:8" ht="15.75">
      <c r="B266" s="5" t="s">
        <v>55</v>
      </c>
      <c r="C266" s="6">
        <v>45909</v>
      </c>
      <c r="D266" s="482">
        <v>81225880</v>
      </c>
      <c r="E266" s="483"/>
      <c r="F266" s="188">
        <v>13</v>
      </c>
      <c r="G266" s="13">
        <v>49631</v>
      </c>
      <c r="H266" s="178"/>
    </row>
    <row r="267" spans="2:8" ht="15.75">
      <c r="B267" s="5" t="s">
        <v>58</v>
      </c>
      <c r="C267" s="6">
        <v>45909</v>
      </c>
      <c r="D267" s="482">
        <v>81225634</v>
      </c>
      <c r="E267" s="483"/>
      <c r="F267" s="190">
        <v>116</v>
      </c>
      <c r="G267" s="13">
        <v>523128</v>
      </c>
      <c r="H267" s="178"/>
    </row>
    <row r="268" spans="2:8" ht="15.75">
      <c r="B268" s="5" t="s">
        <v>59</v>
      </c>
      <c r="C268" s="6">
        <v>45909</v>
      </c>
      <c r="D268" s="482">
        <v>81225885</v>
      </c>
      <c r="E268" s="483"/>
      <c r="F268" s="190">
        <v>19</v>
      </c>
      <c r="G268" s="13">
        <v>72537</v>
      </c>
      <c r="H268" s="178"/>
    </row>
    <row r="269" spans="2:8" ht="15.75">
      <c r="B269" s="5" t="s">
        <v>68</v>
      </c>
      <c r="C269" s="6">
        <v>45909</v>
      </c>
      <c r="D269" s="482">
        <v>81225888</v>
      </c>
      <c r="E269" s="483"/>
      <c r="F269" s="190">
        <v>127</v>
      </c>
      <c r="G269" s="13">
        <v>473519</v>
      </c>
      <c r="H269" s="178"/>
    </row>
    <row r="270" spans="2:8" ht="15.75">
      <c r="B270" s="5" t="s">
        <v>69</v>
      </c>
      <c r="C270" s="6">
        <v>45909</v>
      </c>
      <c r="D270" s="482">
        <v>81226590</v>
      </c>
      <c r="E270" s="483"/>
      <c r="F270" s="190">
        <v>14</v>
      </c>
      <c r="G270" s="13">
        <v>59281</v>
      </c>
      <c r="H270" s="178"/>
    </row>
    <row r="271" spans="2:8" ht="15.75">
      <c r="B271" s="5" t="s">
        <v>70</v>
      </c>
      <c r="C271" s="6">
        <v>45909</v>
      </c>
      <c r="D271" s="482">
        <v>81226300</v>
      </c>
      <c r="E271" s="483"/>
      <c r="F271" s="190">
        <v>85</v>
      </c>
      <c r="G271" s="13">
        <v>307281</v>
      </c>
      <c r="H271" s="178"/>
    </row>
    <row r="272" spans="2:8" ht="15.75">
      <c r="B272" s="5" t="s">
        <v>71</v>
      </c>
      <c r="C272" s="6">
        <v>45939</v>
      </c>
      <c r="D272" s="482">
        <v>81227623</v>
      </c>
      <c r="E272" s="483"/>
      <c r="F272" s="190">
        <v>10</v>
      </c>
      <c r="G272" s="13">
        <v>36078</v>
      </c>
      <c r="H272" s="178"/>
    </row>
    <row r="273" spans="2:9" ht="15.75">
      <c r="B273" s="5" t="s">
        <v>100</v>
      </c>
      <c r="C273" s="6">
        <v>45939</v>
      </c>
      <c r="D273" s="482">
        <v>81227308</v>
      </c>
      <c r="E273" s="483"/>
      <c r="F273" s="191">
        <v>35</v>
      </c>
      <c r="G273" s="13">
        <v>129804</v>
      </c>
      <c r="H273" s="178"/>
    </row>
    <row r="274" spans="2:9" ht="15.75">
      <c r="B274" s="5" t="s">
        <v>101</v>
      </c>
      <c r="C274" s="6">
        <v>45939</v>
      </c>
      <c r="D274" s="482">
        <v>81227385</v>
      </c>
      <c r="E274" s="483"/>
      <c r="F274" s="191">
        <v>30</v>
      </c>
      <c r="G274" s="13">
        <v>126198</v>
      </c>
      <c r="H274" s="178"/>
    </row>
    <row r="275" spans="2:9" ht="15.75">
      <c r="B275" s="5" t="s">
        <v>102</v>
      </c>
      <c r="C275" s="6">
        <v>45939</v>
      </c>
      <c r="D275" s="482">
        <v>81227563</v>
      </c>
      <c r="E275" s="483"/>
      <c r="F275" s="191">
        <v>121</v>
      </c>
      <c r="G275" s="13">
        <v>442452</v>
      </c>
      <c r="H275" s="178"/>
    </row>
    <row r="276" spans="2:9" ht="15.75">
      <c r="B276" s="5" t="s">
        <v>106</v>
      </c>
      <c r="C276" s="6">
        <v>45970</v>
      </c>
      <c r="D276" s="482">
        <v>81228281</v>
      </c>
      <c r="E276" s="483"/>
      <c r="F276" s="191">
        <v>21</v>
      </c>
      <c r="G276" s="13">
        <v>73725</v>
      </c>
      <c r="H276" s="178"/>
    </row>
    <row r="277" spans="2:9" ht="15.75">
      <c r="B277" s="5" t="s">
        <v>114</v>
      </c>
      <c r="C277" s="6">
        <v>45970</v>
      </c>
      <c r="D277" s="482">
        <v>81228369</v>
      </c>
      <c r="E277" s="483"/>
      <c r="F277" s="191">
        <v>44</v>
      </c>
      <c r="G277" s="13">
        <v>181781</v>
      </c>
      <c r="H277" s="178"/>
    </row>
    <row r="278" spans="2:9" ht="15.75">
      <c r="B278" s="5" t="s">
        <v>115</v>
      </c>
      <c r="C278" s="6">
        <v>46000</v>
      </c>
      <c r="D278" s="482">
        <v>81229174</v>
      </c>
      <c r="E278" s="483"/>
      <c r="F278" s="191">
        <v>15</v>
      </c>
      <c r="G278" s="13">
        <v>68720</v>
      </c>
      <c r="H278" s="178"/>
    </row>
    <row r="279" spans="2:9" ht="15.75">
      <c r="B279" s="5" t="s">
        <v>117</v>
      </c>
      <c r="C279" s="6">
        <v>46000</v>
      </c>
      <c r="D279" s="482">
        <v>81228942</v>
      </c>
      <c r="E279" s="483"/>
      <c r="F279" s="192">
        <v>25</v>
      </c>
      <c r="G279" s="13">
        <v>91372</v>
      </c>
      <c r="H279" s="178"/>
    </row>
    <row r="280" spans="2:9" ht="15.75">
      <c r="B280" s="5" t="s">
        <v>118</v>
      </c>
      <c r="C280" s="15" t="s">
        <v>478</v>
      </c>
      <c r="D280" s="482">
        <v>81229970</v>
      </c>
      <c r="E280" s="483"/>
      <c r="F280" s="192">
        <v>115</v>
      </c>
      <c r="G280" s="13">
        <v>559460</v>
      </c>
      <c r="H280" s="178"/>
    </row>
    <row r="281" spans="2:9" ht="15.75">
      <c r="B281" s="5" t="s">
        <v>120</v>
      </c>
      <c r="C281" s="15" t="s">
        <v>478</v>
      </c>
      <c r="D281" s="482">
        <v>81230024</v>
      </c>
      <c r="E281" s="483"/>
      <c r="F281" s="192">
        <v>160</v>
      </c>
      <c r="G281" s="13">
        <v>581351</v>
      </c>
      <c r="H281" s="178"/>
    </row>
    <row r="282" spans="2:9" ht="15.75">
      <c r="B282" s="5" t="s">
        <v>121</v>
      </c>
      <c r="C282" s="15" t="s">
        <v>478</v>
      </c>
      <c r="D282" s="482">
        <v>81230122</v>
      </c>
      <c r="E282" s="483"/>
      <c r="F282" s="192">
        <v>95</v>
      </c>
      <c r="G282" s="13">
        <v>448906</v>
      </c>
      <c r="H282" s="178"/>
    </row>
    <row r="283" spans="2:9" ht="15.75">
      <c r="B283" s="5" t="s">
        <v>124</v>
      </c>
      <c r="C283" s="15" t="s">
        <v>478</v>
      </c>
      <c r="D283" s="482">
        <v>81230130</v>
      </c>
      <c r="E283" s="483"/>
      <c r="F283" s="192">
        <v>30</v>
      </c>
      <c r="G283" s="13">
        <v>110333</v>
      </c>
      <c r="H283" s="178"/>
    </row>
    <row r="284" spans="2:9" ht="15.75">
      <c r="B284" s="5" t="s">
        <v>125</v>
      </c>
      <c r="C284" s="15" t="s">
        <v>478</v>
      </c>
      <c r="D284" s="482">
        <v>81229969</v>
      </c>
      <c r="E284" s="483"/>
      <c r="F284" s="195">
        <v>13</v>
      </c>
      <c r="G284" s="13"/>
      <c r="H284" s="8"/>
      <c r="I284" s="243">
        <v>103000</v>
      </c>
    </row>
    <row r="285" spans="2:9" ht="15.75">
      <c r="B285" s="5" t="s">
        <v>144</v>
      </c>
      <c r="C285" s="15" t="s">
        <v>500</v>
      </c>
      <c r="D285" s="482">
        <v>81231514</v>
      </c>
      <c r="E285" s="483"/>
      <c r="F285" s="195">
        <v>144</v>
      </c>
      <c r="G285" s="13">
        <v>524116</v>
      </c>
      <c r="H285" s="178"/>
    </row>
    <row r="286" spans="2:9" ht="15.75">
      <c r="B286" s="5" t="s">
        <v>145</v>
      </c>
      <c r="C286" s="15" t="s">
        <v>500</v>
      </c>
      <c r="D286" s="482">
        <v>81231712</v>
      </c>
      <c r="E286" s="483"/>
      <c r="F286" s="195">
        <v>56</v>
      </c>
      <c r="G286" s="13">
        <v>240943</v>
      </c>
      <c r="H286" s="178"/>
    </row>
    <row r="287" spans="2:9" ht="15.75">
      <c r="B287" s="5" t="s">
        <v>150</v>
      </c>
      <c r="C287" s="15" t="s">
        <v>500</v>
      </c>
      <c r="D287" s="482">
        <v>81231747</v>
      </c>
      <c r="E287" s="483"/>
      <c r="F287" s="195">
        <v>15</v>
      </c>
      <c r="G287" s="13">
        <v>53067</v>
      </c>
      <c r="H287" s="178"/>
    </row>
    <row r="288" spans="2:9" ht="15.75">
      <c r="B288" s="5" t="s">
        <v>151</v>
      </c>
      <c r="C288" s="15" t="s">
        <v>500</v>
      </c>
      <c r="D288" s="482">
        <v>81231519</v>
      </c>
      <c r="E288" s="483"/>
      <c r="F288" s="172">
        <v>121</v>
      </c>
      <c r="G288" s="13">
        <v>449442</v>
      </c>
      <c r="H288" s="178"/>
    </row>
    <row r="289" spans="2:9" ht="15.75">
      <c r="B289" s="5" t="s">
        <v>152</v>
      </c>
      <c r="C289" s="15" t="s">
        <v>502</v>
      </c>
      <c r="D289" s="482">
        <v>81232808</v>
      </c>
      <c r="E289" s="483"/>
      <c r="F289" s="199">
        <v>46</v>
      </c>
      <c r="G289" s="13">
        <v>161674</v>
      </c>
      <c r="H289" s="178"/>
    </row>
    <row r="290" spans="2:9" ht="15.75">
      <c r="B290" s="5" t="s">
        <v>153</v>
      </c>
      <c r="C290" s="15" t="s">
        <v>502</v>
      </c>
      <c r="D290" s="482">
        <v>81233020</v>
      </c>
      <c r="E290" s="483"/>
      <c r="F290" s="199">
        <v>20</v>
      </c>
      <c r="G290" s="13">
        <v>114533</v>
      </c>
      <c r="H290" s="178"/>
    </row>
    <row r="291" spans="2:9" ht="15.75">
      <c r="B291" s="5" t="s">
        <v>160</v>
      </c>
      <c r="C291" s="15" t="s">
        <v>502</v>
      </c>
      <c r="D291" s="482">
        <v>81233037</v>
      </c>
      <c r="E291" s="483"/>
      <c r="F291" s="199">
        <v>10</v>
      </c>
      <c r="G291" s="13">
        <v>36078</v>
      </c>
      <c r="H291" s="178"/>
    </row>
    <row r="292" spans="2:9" ht="15.75">
      <c r="B292" s="5" t="s">
        <v>161</v>
      </c>
      <c r="C292" s="15" t="s">
        <v>502</v>
      </c>
      <c r="D292" s="482">
        <v>81232895</v>
      </c>
      <c r="E292" s="483"/>
      <c r="F292" s="200">
        <v>50</v>
      </c>
      <c r="G292" s="13">
        <v>183252</v>
      </c>
      <c r="H292" s="178"/>
      <c r="I292">
        <v>55</v>
      </c>
    </row>
    <row r="293" spans="2:9" ht="15.75">
      <c r="B293" s="5" t="s">
        <v>162</v>
      </c>
      <c r="C293" s="15" t="s">
        <v>512</v>
      </c>
      <c r="D293" s="482">
        <v>81233724</v>
      </c>
      <c r="E293" s="483"/>
      <c r="F293" s="200">
        <v>100</v>
      </c>
      <c r="G293" s="13">
        <v>379040</v>
      </c>
      <c r="H293" s="178"/>
    </row>
    <row r="294" spans="2:9" ht="15.75">
      <c r="B294" s="5" t="s">
        <v>163</v>
      </c>
      <c r="C294" s="15" t="s">
        <v>512</v>
      </c>
      <c r="D294" s="482">
        <v>81234005</v>
      </c>
      <c r="E294" s="483"/>
      <c r="F294" s="200">
        <v>151</v>
      </c>
      <c r="G294" s="13">
        <v>568931</v>
      </c>
      <c r="H294" s="178"/>
    </row>
    <row r="295" spans="2:9" ht="15.75">
      <c r="B295" s="5" t="s">
        <v>175</v>
      </c>
      <c r="C295" s="15" t="s">
        <v>512</v>
      </c>
      <c r="D295" s="482">
        <v>81233731</v>
      </c>
      <c r="E295" s="483"/>
      <c r="F295" s="200">
        <v>28</v>
      </c>
      <c r="G295" s="13">
        <v>154620</v>
      </c>
      <c r="H295" s="178"/>
    </row>
    <row r="296" spans="2:9" ht="15.75">
      <c r="B296" s="5" t="s">
        <v>300</v>
      </c>
      <c r="C296" s="15" t="s">
        <v>512</v>
      </c>
      <c r="D296" s="482">
        <v>81234155</v>
      </c>
      <c r="E296" s="483"/>
      <c r="F296" s="200">
        <v>15</v>
      </c>
      <c r="G296" s="13">
        <v>53067</v>
      </c>
      <c r="H296" s="178"/>
    </row>
    <row r="297" spans="2:9" ht="15.75">
      <c r="B297" s="5" t="s">
        <v>301</v>
      </c>
      <c r="C297" s="15" t="s">
        <v>514</v>
      </c>
      <c r="D297" s="482">
        <v>81234449</v>
      </c>
      <c r="E297" s="483"/>
      <c r="F297" s="199">
        <v>27</v>
      </c>
      <c r="G297" s="13">
        <v>135149</v>
      </c>
      <c r="H297" s="178"/>
    </row>
    <row r="298" spans="2:9" ht="15.75">
      <c r="B298" s="5" t="s">
        <v>302</v>
      </c>
      <c r="C298" s="15" t="s">
        <v>514</v>
      </c>
      <c r="D298" s="482">
        <v>81234386</v>
      </c>
      <c r="E298" s="483"/>
      <c r="F298" s="202">
        <v>135</v>
      </c>
      <c r="G298" s="13">
        <v>496785</v>
      </c>
      <c r="H298" s="178"/>
    </row>
    <row r="299" spans="2:9" ht="15.75">
      <c r="B299" s="5" t="s">
        <v>361</v>
      </c>
      <c r="C299" s="15" t="s">
        <v>514</v>
      </c>
      <c r="D299" s="482">
        <v>81234395</v>
      </c>
      <c r="E299" s="483"/>
      <c r="F299" s="202">
        <v>15</v>
      </c>
      <c r="G299" s="13">
        <v>51540</v>
      </c>
      <c r="H299" s="178"/>
    </row>
    <row r="300" spans="2:9" ht="15.75">
      <c r="B300" s="5" t="s">
        <v>321</v>
      </c>
      <c r="C300" s="15" t="s">
        <v>517</v>
      </c>
      <c r="D300" s="482">
        <v>81235137</v>
      </c>
      <c r="E300" s="483"/>
      <c r="F300" s="202">
        <v>144</v>
      </c>
      <c r="G300" s="13">
        <v>558324</v>
      </c>
      <c r="H300" s="178"/>
    </row>
    <row r="301" spans="2:9" ht="15.75">
      <c r="B301" s="5" t="s">
        <v>322</v>
      </c>
      <c r="C301" s="15" t="s">
        <v>517</v>
      </c>
      <c r="D301" s="482">
        <v>81235352</v>
      </c>
      <c r="E301" s="483"/>
      <c r="F301" s="202">
        <v>79</v>
      </c>
      <c r="G301" s="13">
        <v>374841</v>
      </c>
      <c r="H301" s="178"/>
      <c r="I301">
        <v>72</v>
      </c>
    </row>
    <row r="302" spans="2:9" ht="15.75">
      <c r="B302" s="5" t="s">
        <v>323</v>
      </c>
      <c r="C302" s="15" t="s">
        <v>517</v>
      </c>
      <c r="D302" s="482">
        <v>81235139</v>
      </c>
      <c r="E302" s="483"/>
      <c r="F302" s="202">
        <v>7</v>
      </c>
      <c r="G302" s="13">
        <v>26724</v>
      </c>
      <c r="H302" s="178"/>
    </row>
    <row r="303" spans="2:9" ht="15.75">
      <c r="B303" s="5" t="s">
        <v>357</v>
      </c>
      <c r="C303" s="15" t="s">
        <v>517</v>
      </c>
      <c r="D303" s="482">
        <v>81235289</v>
      </c>
      <c r="E303" s="483"/>
      <c r="F303" s="202">
        <v>67</v>
      </c>
      <c r="G303" s="13">
        <v>252820</v>
      </c>
      <c r="H303" s="178"/>
    </row>
    <row r="304" spans="2:9" ht="15.75">
      <c r="B304" s="5" t="s">
        <v>358</v>
      </c>
      <c r="C304" s="15" t="s">
        <v>534</v>
      </c>
      <c r="D304" s="482">
        <v>81236332</v>
      </c>
      <c r="E304" s="483"/>
      <c r="F304" s="205">
        <v>45</v>
      </c>
      <c r="G304" s="13">
        <v>212204</v>
      </c>
      <c r="H304" s="178"/>
    </row>
    <row r="305" spans="2:8" ht="15.75">
      <c r="B305" s="5" t="s">
        <v>359</v>
      </c>
      <c r="C305" s="15" t="s">
        <v>534</v>
      </c>
      <c r="D305" s="482">
        <v>81236340</v>
      </c>
      <c r="E305" s="483"/>
      <c r="F305" s="205">
        <v>98</v>
      </c>
      <c r="G305" s="13">
        <v>395198</v>
      </c>
      <c r="H305" s="178"/>
    </row>
    <row r="306" spans="2:8" ht="15.75">
      <c r="B306" s="5" t="s">
        <v>360</v>
      </c>
      <c r="C306" s="15" t="s">
        <v>534</v>
      </c>
      <c r="D306" s="482">
        <v>81236344</v>
      </c>
      <c r="E306" s="483"/>
      <c r="F306" s="205">
        <v>20</v>
      </c>
      <c r="G306" s="13">
        <v>74446</v>
      </c>
      <c r="H306" s="178"/>
    </row>
    <row r="307" spans="2:8" ht="15.75">
      <c r="B307" s="5" t="s">
        <v>361</v>
      </c>
      <c r="C307" s="15" t="s">
        <v>540</v>
      </c>
      <c r="D307" s="482">
        <v>81237265</v>
      </c>
      <c r="E307" s="483"/>
      <c r="F307" s="205">
        <v>43</v>
      </c>
      <c r="G307" s="13">
        <v>211886</v>
      </c>
      <c r="H307" s="178"/>
    </row>
    <row r="308" spans="2:8" ht="15.75">
      <c r="B308" s="5" t="s">
        <v>362</v>
      </c>
      <c r="C308" s="15" t="s">
        <v>540</v>
      </c>
      <c r="D308" s="482">
        <v>81236950</v>
      </c>
      <c r="E308" s="483"/>
      <c r="F308" s="205">
        <v>126</v>
      </c>
      <c r="G308" s="13">
        <v>493229</v>
      </c>
      <c r="H308" s="178"/>
    </row>
    <row r="309" spans="2:8" ht="15.75">
      <c r="B309" s="5" t="s">
        <v>363</v>
      </c>
      <c r="C309" s="15" t="s">
        <v>540</v>
      </c>
      <c r="D309" s="482">
        <v>81236956</v>
      </c>
      <c r="E309" s="483"/>
      <c r="F309" s="205">
        <v>10</v>
      </c>
      <c r="G309" s="13">
        <v>38178</v>
      </c>
      <c r="H309" s="178"/>
    </row>
    <row r="310" spans="2:8" ht="15.75">
      <c r="B310" s="5" t="s">
        <v>364</v>
      </c>
      <c r="C310" s="15" t="s">
        <v>540</v>
      </c>
      <c r="D310" s="482">
        <v>81236993</v>
      </c>
      <c r="E310" s="483"/>
      <c r="F310" s="202">
        <v>42</v>
      </c>
      <c r="G310" s="13">
        <v>217421</v>
      </c>
      <c r="H310" s="178"/>
    </row>
    <row r="311" spans="2:8" ht="15.75">
      <c r="B311" s="5" t="s">
        <v>371</v>
      </c>
      <c r="C311" s="15" t="s">
        <v>551</v>
      </c>
      <c r="D311" s="482">
        <v>81238868</v>
      </c>
      <c r="E311" s="483"/>
      <c r="F311" s="199">
        <v>130</v>
      </c>
      <c r="G311" s="13">
        <v>462748</v>
      </c>
      <c r="H311" s="178"/>
    </row>
    <row r="312" spans="2:8" ht="15.75">
      <c r="B312" s="5" t="s">
        <v>372</v>
      </c>
      <c r="C312" s="15" t="s">
        <v>551</v>
      </c>
      <c r="D312" s="482">
        <v>81238836</v>
      </c>
      <c r="E312" s="483"/>
      <c r="F312" s="213">
        <v>40</v>
      </c>
      <c r="G312" s="13">
        <v>189298</v>
      </c>
      <c r="H312" s="178"/>
    </row>
    <row r="313" spans="2:8" ht="15.75">
      <c r="B313" s="5" t="s">
        <v>373</v>
      </c>
      <c r="C313" s="15" t="s">
        <v>551</v>
      </c>
      <c r="D313" s="482">
        <v>81238837</v>
      </c>
      <c r="E313" s="483"/>
      <c r="F313" s="213">
        <v>15</v>
      </c>
      <c r="G313" s="13">
        <v>68720</v>
      </c>
      <c r="H313" s="178"/>
    </row>
    <row r="314" spans="2:8" ht="15.75">
      <c r="B314" s="5" t="s">
        <v>374</v>
      </c>
      <c r="C314" s="6" t="s">
        <v>560</v>
      </c>
      <c r="D314" s="482">
        <v>81239593</v>
      </c>
      <c r="E314" s="483"/>
      <c r="F314" s="213">
        <v>25</v>
      </c>
      <c r="G314" s="13">
        <v>108912</v>
      </c>
      <c r="H314" s="178"/>
    </row>
    <row r="315" spans="2:8" ht="15.75">
      <c r="B315" s="5" t="s">
        <v>383</v>
      </c>
      <c r="C315" s="15" t="s">
        <v>560</v>
      </c>
      <c r="D315" s="482">
        <v>81239523</v>
      </c>
      <c r="E315" s="483"/>
      <c r="F315" s="230">
        <v>88</v>
      </c>
      <c r="G315" s="13">
        <v>315542</v>
      </c>
      <c r="H315" s="178"/>
    </row>
    <row r="316" spans="2:8" ht="15.75">
      <c r="B316" s="5" t="s">
        <v>384</v>
      </c>
      <c r="C316" s="15" t="s">
        <v>565</v>
      </c>
      <c r="D316" s="482">
        <v>81240149</v>
      </c>
      <c r="E316" s="483"/>
      <c r="F316" s="230">
        <v>40</v>
      </c>
      <c r="G316" s="13">
        <v>142211</v>
      </c>
      <c r="H316" s="178"/>
    </row>
    <row r="317" spans="2:8" ht="15.75">
      <c r="B317" s="5" t="s">
        <v>391</v>
      </c>
      <c r="C317" s="15" t="s">
        <v>565</v>
      </c>
      <c r="D317" s="482">
        <v>81239534</v>
      </c>
      <c r="E317" s="483"/>
      <c r="F317" s="230">
        <v>38</v>
      </c>
      <c r="G317" s="13">
        <v>137439</v>
      </c>
      <c r="H317" s="178"/>
    </row>
    <row r="318" spans="2:8" ht="15.75">
      <c r="B318" s="5" t="s">
        <v>392</v>
      </c>
      <c r="C318" s="15" t="s">
        <v>565</v>
      </c>
      <c r="D318" s="482">
        <v>81240309</v>
      </c>
      <c r="E318" s="483"/>
      <c r="F318" s="232">
        <v>177</v>
      </c>
      <c r="G318" s="13">
        <v>672609</v>
      </c>
      <c r="H318" s="178"/>
    </row>
    <row r="319" spans="2:8" ht="15.75">
      <c r="B319" s="5" t="s">
        <v>400</v>
      </c>
      <c r="C319" s="15" t="s">
        <v>565</v>
      </c>
      <c r="D319" s="482">
        <v>8120300</v>
      </c>
      <c r="E319" s="483"/>
      <c r="F319" s="232">
        <v>71</v>
      </c>
      <c r="G319" s="13">
        <v>322150</v>
      </c>
      <c r="H319" s="178"/>
    </row>
    <row r="320" spans="2:8" ht="15.75">
      <c r="B320" s="5" t="s">
        <v>401</v>
      </c>
      <c r="C320" s="15" t="s">
        <v>565</v>
      </c>
      <c r="D320" s="482">
        <v>81240470</v>
      </c>
      <c r="E320" s="483"/>
      <c r="F320" s="232">
        <v>10</v>
      </c>
      <c r="G320" s="13">
        <v>38178</v>
      </c>
      <c r="H320" s="178"/>
    </row>
    <row r="321" spans="2:13" ht="15.75">
      <c r="B321" s="5" t="s">
        <v>402</v>
      </c>
      <c r="C321" s="15" t="s">
        <v>565</v>
      </c>
      <c r="D321" s="482">
        <v>81240503</v>
      </c>
      <c r="E321" s="483"/>
      <c r="F321" s="232">
        <v>94</v>
      </c>
      <c r="G321" s="13">
        <v>432171</v>
      </c>
      <c r="H321" s="178"/>
    </row>
    <row r="322" spans="2:13" ht="15.75">
      <c r="B322" s="5" t="s">
        <v>403</v>
      </c>
      <c r="C322" s="15" t="s">
        <v>603</v>
      </c>
      <c r="D322" s="482">
        <v>81241981</v>
      </c>
      <c r="E322" s="483"/>
      <c r="F322" s="234">
        <v>73</v>
      </c>
      <c r="G322" s="13">
        <v>283799</v>
      </c>
      <c r="H322" s="178"/>
    </row>
    <row r="323" spans="2:13" ht="15.75">
      <c r="B323" s="5" t="s">
        <v>411</v>
      </c>
      <c r="C323" s="15" t="s">
        <v>603</v>
      </c>
      <c r="D323" s="482">
        <v>81242016</v>
      </c>
      <c r="E323" s="483"/>
      <c r="F323" s="234">
        <v>54</v>
      </c>
      <c r="G323" s="13">
        <v>254560</v>
      </c>
      <c r="H323" s="178"/>
    </row>
    <row r="324" spans="2:13" ht="15.75">
      <c r="B324" s="5" t="s">
        <v>412</v>
      </c>
      <c r="C324" s="15" t="s">
        <v>606</v>
      </c>
      <c r="D324" s="482">
        <v>81242715</v>
      </c>
      <c r="E324" s="483"/>
      <c r="F324" s="234">
        <v>105</v>
      </c>
      <c r="G324" s="13">
        <v>370823</v>
      </c>
      <c r="H324" s="178"/>
    </row>
    <row r="325" spans="2:13" ht="15.75">
      <c r="B325" s="5" t="s">
        <v>604</v>
      </c>
      <c r="C325" s="15" t="s">
        <v>606</v>
      </c>
      <c r="D325" s="482">
        <v>81242691</v>
      </c>
      <c r="E325" s="483"/>
      <c r="F325" s="242">
        <v>70</v>
      </c>
      <c r="G325" s="13">
        <v>320692</v>
      </c>
      <c r="H325" s="178"/>
    </row>
    <row r="326" spans="2:13" ht="15.75">
      <c r="B326" s="5" t="s">
        <v>605</v>
      </c>
      <c r="C326" s="15" t="s">
        <v>606</v>
      </c>
      <c r="D326" s="482">
        <v>81242556</v>
      </c>
      <c r="E326" s="483"/>
      <c r="F326" s="242">
        <v>33</v>
      </c>
      <c r="G326" s="13">
        <v>147206</v>
      </c>
      <c r="H326" s="178"/>
    </row>
    <row r="327" spans="2:13" ht="15.75">
      <c r="B327" s="5" t="s">
        <v>615</v>
      </c>
      <c r="C327" s="15" t="s">
        <v>606</v>
      </c>
      <c r="D327" s="482">
        <v>81242531</v>
      </c>
      <c r="E327" s="483"/>
      <c r="F327" s="244">
        <v>10</v>
      </c>
      <c r="G327" s="13">
        <v>33978</v>
      </c>
      <c r="H327" s="178"/>
    </row>
    <row r="328" spans="2:13" ht="15.75">
      <c r="B328" s="5"/>
      <c r="C328" s="15"/>
      <c r="D328" s="482"/>
      <c r="E328" s="483"/>
      <c r="F328" s="172"/>
      <c r="G328" s="13"/>
      <c r="H328" s="8"/>
    </row>
    <row r="329" spans="2:13" ht="15.75">
      <c r="B329" s="5"/>
      <c r="C329" s="8"/>
      <c r="D329" s="8"/>
      <c r="E329" s="8"/>
      <c r="F329" s="166">
        <f>SUM(F249:F327)</f>
        <v>4810</v>
      </c>
      <c r="G329" s="9">
        <f>SUM(G249:G328)</f>
        <v>19142290</v>
      </c>
      <c r="H329" s="8"/>
      <c r="J329" s="215">
        <f>+F329-13</f>
        <v>4797</v>
      </c>
      <c r="K329" s="215">
        <f>+G329/J329</f>
        <v>3990.4711277882011</v>
      </c>
      <c r="L329">
        <v>4581</v>
      </c>
      <c r="M329">
        <f>+L329*K329</f>
        <v>18280348.236397751</v>
      </c>
    </row>
    <row r="330" spans="2:13" ht="15.75">
      <c r="B330" s="501" t="s">
        <v>9</v>
      </c>
      <c r="C330" s="502"/>
      <c r="D330" s="3" t="s">
        <v>0</v>
      </c>
      <c r="E330" s="8"/>
      <c r="F330" s="8"/>
      <c r="G330" s="8"/>
      <c r="H330" s="8"/>
      <c r="L330">
        <v>19746190</v>
      </c>
    </row>
    <row r="331" spans="2:13" ht="15.75">
      <c r="B331" s="501"/>
      <c r="C331" s="502"/>
      <c r="D331" s="3"/>
      <c r="E331" s="75"/>
      <c r="F331" s="75"/>
      <c r="G331" s="9"/>
      <c r="H331" s="8"/>
      <c r="L331" s="246">
        <f>+L330/4610</f>
        <v>4283.3383947939265</v>
      </c>
    </row>
    <row r="332" spans="2:13">
      <c r="B332" s="503"/>
      <c r="C332" s="503"/>
      <c r="H332" s="11"/>
      <c r="L332" s="246">
        <f>+L331*L329</f>
        <v>19621973.186550979</v>
      </c>
    </row>
    <row r="333" spans="2:13" ht="15.75">
      <c r="B333" s="488" t="s">
        <v>260</v>
      </c>
      <c r="C333" s="489"/>
      <c r="D333" s="76"/>
      <c r="E333" s="25"/>
      <c r="F333" s="25"/>
      <c r="G333" s="18">
        <v>1359252</v>
      </c>
      <c r="H333" s="11"/>
      <c r="L333" s="246">
        <f>+L332-M329</f>
        <v>1341624.9501532279</v>
      </c>
    </row>
    <row r="334" spans="2:13" ht="15.75">
      <c r="B334" s="488" t="s">
        <v>410</v>
      </c>
      <c r="C334" s="489"/>
      <c r="D334" s="76">
        <v>45901</v>
      </c>
      <c r="E334" s="25"/>
      <c r="F334" s="25"/>
      <c r="G334" s="18">
        <v>725000</v>
      </c>
      <c r="H334" s="11"/>
      <c r="L334" s="246">
        <v>-813535</v>
      </c>
    </row>
    <row r="335" spans="2:13" ht="15.75">
      <c r="B335" s="488" t="s">
        <v>424</v>
      </c>
      <c r="C335" s="489"/>
      <c r="D335" s="76">
        <v>45902</v>
      </c>
      <c r="E335" s="40"/>
      <c r="F335" s="40"/>
      <c r="G335" s="18">
        <v>715000</v>
      </c>
      <c r="H335" s="11"/>
      <c r="L335" s="246">
        <f>SUM(L333:L334)</f>
        <v>528089.9501532279</v>
      </c>
    </row>
    <row r="336" spans="2:13" ht="15.75">
      <c r="B336" s="488" t="s">
        <v>428</v>
      </c>
      <c r="C336" s="489"/>
      <c r="D336" s="76">
        <v>45903</v>
      </c>
      <c r="E336" s="40"/>
      <c r="F336" s="40"/>
      <c r="G336" s="18">
        <v>800000</v>
      </c>
      <c r="H336" s="11"/>
    </row>
    <row r="337" spans="2:8" ht="15.75">
      <c r="B337" s="488" t="s">
        <v>434</v>
      </c>
      <c r="C337" s="489"/>
      <c r="D337" s="76">
        <v>45904</v>
      </c>
      <c r="E337" s="40"/>
      <c r="F337" s="40"/>
      <c r="G337" s="18">
        <v>700000</v>
      </c>
      <c r="H337" s="11"/>
    </row>
    <row r="338" spans="2:8" ht="15.75">
      <c r="B338" s="488" t="s">
        <v>444</v>
      </c>
      <c r="C338" s="489"/>
      <c r="D338" s="76">
        <v>45905</v>
      </c>
      <c r="E338" s="40"/>
      <c r="F338" s="40"/>
      <c r="G338" s="18">
        <v>1000000</v>
      </c>
      <c r="H338" s="11"/>
    </row>
    <row r="339" spans="2:8" ht="15.75">
      <c r="B339" s="488" t="s">
        <v>463</v>
      </c>
      <c r="C339" s="489"/>
      <c r="D339" s="76">
        <v>45908</v>
      </c>
      <c r="E339" s="40"/>
      <c r="F339" s="40"/>
      <c r="G339" s="18">
        <v>400000</v>
      </c>
      <c r="H339" s="11"/>
    </row>
    <row r="340" spans="2:8" ht="15.75">
      <c r="B340" s="488" t="s">
        <v>467</v>
      </c>
      <c r="C340" s="489"/>
      <c r="D340" s="76">
        <v>45909</v>
      </c>
      <c r="E340" s="40"/>
      <c r="F340" s="40"/>
      <c r="G340" s="18">
        <v>500000</v>
      </c>
      <c r="H340" s="11"/>
    </row>
    <row r="341" spans="2:8" ht="15.75">
      <c r="B341" s="488" t="s">
        <v>468</v>
      </c>
      <c r="C341" s="489"/>
      <c r="D341" s="76">
        <v>45911</v>
      </c>
      <c r="E341" s="40"/>
      <c r="F341" s="40"/>
      <c r="G341" s="18">
        <v>400000</v>
      </c>
      <c r="H341" s="11"/>
    </row>
    <row r="342" spans="2:8" ht="15.75">
      <c r="B342" s="488" t="s">
        <v>472</v>
      </c>
      <c r="C342" s="489"/>
      <c r="D342" s="76">
        <v>45912</v>
      </c>
      <c r="E342" s="40"/>
      <c r="F342" s="40"/>
      <c r="G342" s="18">
        <v>1000000</v>
      </c>
      <c r="H342" s="11"/>
    </row>
    <row r="343" spans="2:8" ht="15.75">
      <c r="B343" s="490" t="s">
        <v>479</v>
      </c>
      <c r="C343" s="491"/>
      <c r="D343" s="76">
        <v>45913</v>
      </c>
      <c r="E343" s="40"/>
      <c r="F343" s="40"/>
      <c r="G343" s="18">
        <v>600000</v>
      </c>
      <c r="H343" s="11"/>
    </row>
    <row r="344" spans="2:8" ht="15.75">
      <c r="B344" s="488" t="s">
        <v>487</v>
      </c>
      <c r="C344" s="489"/>
      <c r="D344" s="76">
        <v>45915</v>
      </c>
      <c r="E344" s="40"/>
      <c r="F344" s="40"/>
      <c r="G344" s="18">
        <v>1400000</v>
      </c>
      <c r="H344" s="11"/>
    </row>
    <row r="345" spans="2:8" ht="15.75">
      <c r="B345" s="488" t="s">
        <v>490</v>
      </c>
      <c r="C345" s="489"/>
      <c r="D345" s="76">
        <v>45902</v>
      </c>
      <c r="E345" s="40"/>
      <c r="F345" s="40"/>
      <c r="G345" s="18">
        <v>5916</v>
      </c>
      <c r="H345" s="11"/>
    </row>
    <row r="346" spans="2:8" ht="15.75">
      <c r="B346" s="488" t="s">
        <v>491</v>
      </c>
      <c r="C346" s="489"/>
      <c r="D346" s="76">
        <v>45902</v>
      </c>
      <c r="E346" s="40"/>
      <c r="F346" s="40"/>
      <c r="G346" s="18">
        <v>6405</v>
      </c>
      <c r="H346" s="11"/>
    </row>
    <row r="347" spans="2:8" ht="15.75">
      <c r="B347" s="488" t="s">
        <v>492</v>
      </c>
      <c r="C347" s="489"/>
      <c r="D347" s="76">
        <v>45902</v>
      </c>
      <c r="E347" s="40"/>
      <c r="F347" s="40"/>
      <c r="G347" s="18">
        <v>18872</v>
      </c>
      <c r="H347" s="11"/>
    </row>
    <row r="348" spans="2:8" ht="15.75">
      <c r="B348" s="488" t="s">
        <v>493</v>
      </c>
      <c r="C348" s="489"/>
      <c r="D348" s="76">
        <v>45902</v>
      </c>
      <c r="E348" s="40"/>
      <c r="F348" s="40"/>
      <c r="G348" s="18">
        <v>11819</v>
      </c>
      <c r="H348" s="11"/>
    </row>
    <row r="349" spans="2:8" ht="15.75">
      <c r="B349" s="490" t="s">
        <v>494</v>
      </c>
      <c r="C349" s="491"/>
      <c r="D349" s="76">
        <v>45902</v>
      </c>
      <c r="E349" s="40"/>
      <c r="F349" s="40"/>
      <c r="G349" s="18">
        <v>69319</v>
      </c>
      <c r="H349" s="11"/>
    </row>
    <row r="350" spans="2:8" ht="15.75">
      <c r="B350" s="488" t="s">
        <v>495</v>
      </c>
      <c r="C350" s="489"/>
      <c r="D350" s="76">
        <v>45902</v>
      </c>
      <c r="E350" s="40"/>
      <c r="F350" s="40"/>
      <c r="G350" s="18">
        <v>108660</v>
      </c>
      <c r="H350" s="11"/>
    </row>
    <row r="351" spans="2:8" ht="15.75">
      <c r="B351" s="488" t="s">
        <v>499</v>
      </c>
      <c r="C351" s="489"/>
      <c r="D351" s="76">
        <v>45916</v>
      </c>
      <c r="E351" s="40"/>
      <c r="F351" s="40"/>
      <c r="G351" s="18">
        <v>400000</v>
      </c>
      <c r="H351" s="11"/>
    </row>
    <row r="352" spans="2:8" ht="15.75">
      <c r="B352" s="488" t="s">
        <v>501</v>
      </c>
      <c r="C352" s="489"/>
      <c r="D352" s="76">
        <v>45917</v>
      </c>
      <c r="E352" s="40"/>
      <c r="F352" s="40"/>
      <c r="G352" s="18">
        <v>1200000</v>
      </c>
      <c r="H352" s="11"/>
    </row>
    <row r="353" spans="2:8" ht="15.75">
      <c r="B353" s="488" t="s">
        <v>504</v>
      </c>
      <c r="C353" s="489"/>
      <c r="D353" s="76">
        <v>45918</v>
      </c>
      <c r="E353" s="40"/>
      <c r="F353" s="40"/>
      <c r="G353" s="18">
        <v>500000</v>
      </c>
      <c r="H353" s="11"/>
    </row>
    <row r="354" spans="2:8" ht="15.75">
      <c r="B354" s="488" t="s">
        <v>513</v>
      </c>
      <c r="C354" s="489"/>
      <c r="D354" s="76">
        <v>45919</v>
      </c>
      <c r="E354" s="40"/>
      <c r="F354" s="40"/>
      <c r="G354" s="18">
        <v>1200000</v>
      </c>
      <c r="H354" s="11"/>
    </row>
    <row r="355" spans="2:8" ht="15.75">
      <c r="B355" s="490" t="s">
        <v>479</v>
      </c>
      <c r="C355" s="491"/>
      <c r="D355" s="76">
        <v>45920</v>
      </c>
      <c r="E355" s="40"/>
      <c r="F355" s="40"/>
      <c r="G355" s="18">
        <v>450000</v>
      </c>
      <c r="H355" s="11"/>
    </row>
    <row r="356" spans="2:8" ht="15.75">
      <c r="B356" s="488" t="s">
        <v>535</v>
      </c>
      <c r="C356" s="489"/>
      <c r="D356" s="76">
        <v>45922</v>
      </c>
      <c r="E356" s="40"/>
      <c r="F356" s="40"/>
      <c r="G356" s="18">
        <v>450000</v>
      </c>
      <c r="H356" s="11"/>
    </row>
    <row r="357" spans="2:8" ht="15.75">
      <c r="B357" s="488" t="s">
        <v>536</v>
      </c>
      <c r="C357" s="489"/>
      <c r="D357" s="76">
        <v>45923</v>
      </c>
      <c r="E357" s="40"/>
      <c r="F357" s="40"/>
      <c r="G357" s="18">
        <v>880000</v>
      </c>
      <c r="H357" s="11"/>
    </row>
    <row r="358" spans="2:8" ht="15.75">
      <c r="B358" s="488" t="s">
        <v>546</v>
      </c>
      <c r="C358" s="489"/>
      <c r="D358" s="76">
        <v>45924</v>
      </c>
      <c r="E358" s="40"/>
      <c r="F358" s="40"/>
      <c r="G358" s="18">
        <v>800000</v>
      </c>
      <c r="H358" s="11"/>
    </row>
    <row r="359" spans="2:8" ht="15.75">
      <c r="B359" s="488" t="s">
        <v>559</v>
      </c>
      <c r="C359" s="489"/>
      <c r="D359" s="76">
        <v>45925</v>
      </c>
      <c r="E359" s="40"/>
      <c r="F359" s="40"/>
      <c r="G359" s="18">
        <v>500000</v>
      </c>
      <c r="H359" s="11"/>
    </row>
    <row r="360" spans="2:8" ht="15.75">
      <c r="B360" s="488" t="s">
        <v>559</v>
      </c>
      <c r="C360" s="494"/>
      <c r="D360" s="76">
        <v>45926</v>
      </c>
      <c r="E360" s="40"/>
      <c r="F360" s="40"/>
      <c r="G360" s="18">
        <v>775000</v>
      </c>
      <c r="H360" s="11"/>
    </row>
    <row r="361" spans="2:8" ht="15.75">
      <c r="B361" s="490" t="s">
        <v>479</v>
      </c>
      <c r="C361" s="491"/>
      <c r="D361" s="76">
        <v>45927</v>
      </c>
      <c r="E361" s="40"/>
      <c r="F361" s="40"/>
      <c r="G361" s="18">
        <v>750000</v>
      </c>
      <c r="H361" s="11"/>
    </row>
    <row r="362" spans="2:8" ht="15.75">
      <c r="B362" s="490" t="s">
        <v>573</v>
      </c>
      <c r="C362" s="491"/>
      <c r="D362" s="76">
        <v>45926</v>
      </c>
      <c r="E362" s="40"/>
      <c r="F362" s="40"/>
      <c r="G362" s="18">
        <v>377152</v>
      </c>
      <c r="H362" s="11"/>
    </row>
    <row r="363" spans="2:8" ht="15.75">
      <c r="B363" s="231" t="s">
        <v>568</v>
      </c>
      <c r="C363" s="233"/>
      <c r="D363" s="76">
        <v>45926</v>
      </c>
      <c r="E363" s="40"/>
      <c r="F363" s="40"/>
      <c r="G363" s="18">
        <v>763</v>
      </c>
      <c r="H363" s="11"/>
    </row>
    <row r="364" spans="2:8" ht="15.75">
      <c r="B364" s="231" t="s">
        <v>569</v>
      </c>
      <c r="C364" s="233"/>
      <c r="D364" s="76">
        <v>45926</v>
      </c>
      <c r="E364" s="40"/>
      <c r="F364" s="40"/>
      <c r="G364" s="18">
        <v>9218</v>
      </c>
      <c r="H364" s="11"/>
    </row>
    <row r="365" spans="2:8" ht="15.75">
      <c r="B365" s="231" t="s">
        <v>566</v>
      </c>
      <c r="C365" s="233"/>
      <c r="D365" s="76">
        <v>45926</v>
      </c>
      <c r="E365" s="40"/>
      <c r="F365" s="40"/>
      <c r="G365" s="18">
        <v>179660</v>
      </c>
      <c r="H365" s="11"/>
    </row>
    <row r="366" spans="2:8" ht="15.75">
      <c r="B366" s="231" t="s">
        <v>567</v>
      </c>
      <c r="C366" s="233"/>
      <c r="D366" s="76">
        <v>45926</v>
      </c>
      <c r="E366" s="40"/>
      <c r="F366" s="40"/>
      <c r="G366" s="18">
        <v>93676</v>
      </c>
      <c r="H366" s="11"/>
    </row>
    <row r="367" spans="2:8" ht="15.75">
      <c r="B367" s="231" t="s">
        <v>570</v>
      </c>
      <c r="C367" s="233"/>
      <c r="D367" s="76">
        <v>45926</v>
      </c>
      <c r="E367" s="40"/>
      <c r="F367" s="40"/>
      <c r="G367" s="18">
        <v>24077</v>
      </c>
      <c r="H367" s="11"/>
    </row>
    <row r="368" spans="2:8" ht="15.75">
      <c r="B368" s="231" t="s">
        <v>571</v>
      </c>
      <c r="C368" s="233"/>
      <c r="D368" s="76">
        <v>45926</v>
      </c>
      <c r="E368" s="40"/>
      <c r="F368" s="40"/>
      <c r="G368" s="18">
        <v>5394</v>
      </c>
      <c r="H368" s="11"/>
    </row>
    <row r="369" spans="2:11" ht="15.75">
      <c r="B369" s="231" t="s">
        <v>572</v>
      </c>
      <c r="C369" s="233"/>
      <c r="D369" s="76">
        <v>45926</v>
      </c>
      <c r="E369" s="40"/>
      <c r="F369" s="40"/>
      <c r="G369" s="18">
        <v>9691</v>
      </c>
      <c r="H369" s="11"/>
    </row>
    <row r="370" spans="2:11" ht="15.75">
      <c r="B370" s="488" t="s">
        <v>581</v>
      </c>
      <c r="C370" s="494"/>
      <c r="D370" s="76">
        <v>45929</v>
      </c>
      <c r="E370" s="40"/>
      <c r="F370" s="40"/>
      <c r="G370" s="18">
        <v>650000</v>
      </c>
      <c r="H370" s="11"/>
    </row>
    <row r="371" spans="2:11" ht="15.75">
      <c r="B371" s="231"/>
      <c r="C371" s="233"/>
      <c r="D371" s="76"/>
      <c r="E371" s="40"/>
      <c r="F371" s="40"/>
      <c r="G371" s="18"/>
      <c r="H371" s="11"/>
    </row>
    <row r="372" spans="2:11" ht="15.75">
      <c r="B372" s="231"/>
      <c r="C372" s="233"/>
      <c r="D372" s="76"/>
      <c r="E372" s="40"/>
      <c r="F372" s="40"/>
      <c r="G372" s="18"/>
      <c r="H372" s="11"/>
    </row>
    <row r="373" spans="2:11" ht="15.75">
      <c r="B373" s="217"/>
      <c r="C373" s="218"/>
      <c r="D373" s="76"/>
      <c r="E373" s="40"/>
      <c r="F373" s="40"/>
      <c r="G373" s="18"/>
      <c r="H373" s="11"/>
    </row>
    <row r="374" spans="2:11" ht="15.75">
      <c r="B374" s="217"/>
      <c r="C374" s="218"/>
      <c r="D374" s="76"/>
      <c r="E374" s="40"/>
      <c r="F374" s="40"/>
      <c r="G374" s="18"/>
      <c r="H374" s="11"/>
    </row>
    <row r="375" spans="2:11" ht="15.75">
      <c r="B375" s="484"/>
      <c r="C375" s="485"/>
      <c r="D375" s="40"/>
      <c r="E375" s="40"/>
      <c r="F375" s="40"/>
      <c r="G375" s="18"/>
      <c r="H375" s="11"/>
    </row>
    <row r="376" spans="2:11" ht="15.75">
      <c r="B376" s="486"/>
      <c r="C376" s="487"/>
      <c r="D376" s="11"/>
      <c r="E376" s="11"/>
      <c r="F376" s="11"/>
      <c r="G376" s="75"/>
      <c r="H376" s="11"/>
    </row>
    <row r="377" spans="2:11">
      <c r="B377" s="10"/>
      <c r="C377" s="11"/>
      <c r="D377" s="11"/>
      <c r="E377" s="11"/>
      <c r="F377" s="11"/>
      <c r="G377" s="11"/>
      <c r="H377" s="11"/>
    </row>
    <row r="378" spans="2:11">
      <c r="B378" s="10"/>
      <c r="C378" s="11"/>
      <c r="D378" s="11"/>
      <c r="E378" s="11"/>
      <c r="F378" s="11"/>
      <c r="G378" s="12">
        <f>SUM(G333:G377)</f>
        <v>19074874</v>
      </c>
      <c r="H378" s="11"/>
    </row>
    <row r="379" spans="2:11">
      <c r="B379" s="10"/>
      <c r="C379" s="27" t="s">
        <v>259</v>
      </c>
      <c r="D379" s="11"/>
      <c r="E379" s="11"/>
      <c r="F379" s="11"/>
      <c r="G379" s="26">
        <f>G378-G329</f>
        <v>-67416</v>
      </c>
      <c r="H379" s="11"/>
      <c r="K379" s="215"/>
    </row>
    <row r="398" spans="2:12">
      <c r="B398" s="495" t="s">
        <v>588</v>
      </c>
      <c r="C398" s="496"/>
      <c r="D398" s="496"/>
      <c r="E398" s="496"/>
      <c r="F398" s="496"/>
      <c r="G398" s="496"/>
      <c r="H398" s="497"/>
      <c r="L398" s="79"/>
    </row>
    <row r="399" spans="2:12">
      <c r="B399" s="498"/>
      <c r="C399" s="499"/>
      <c r="D399" s="499"/>
      <c r="E399" s="499"/>
      <c r="F399" s="499"/>
      <c r="G399" s="499"/>
      <c r="H399" s="500"/>
    </row>
    <row r="400" spans="2:12" ht="15.75">
      <c r="B400" s="2" t="s">
        <v>18</v>
      </c>
      <c r="C400" s="3" t="s">
        <v>0</v>
      </c>
      <c r="D400" s="492" t="s">
        <v>1</v>
      </c>
      <c r="E400" s="493"/>
      <c r="F400" s="238" t="s">
        <v>5</v>
      </c>
      <c r="G400" s="3" t="s">
        <v>2</v>
      </c>
      <c r="H400" s="3" t="s">
        <v>6</v>
      </c>
    </row>
    <row r="401" spans="2:8" ht="15.75">
      <c r="B401" s="5"/>
      <c r="C401" s="6"/>
      <c r="D401" s="482"/>
      <c r="E401" s="483"/>
      <c r="F401" s="237"/>
      <c r="G401" s="13"/>
      <c r="H401" s="8"/>
    </row>
    <row r="402" spans="2:8" ht="15.75">
      <c r="B402" s="5" t="s">
        <v>184</v>
      </c>
      <c r="C402" s="187">
        <v>45932</v>
      </c>
      <c r="D402" s="482">
        <v>81244504</v>
      </c>
      <c r="E402" s="483"/>
      <c r="F402" s="237">
        <v>5</v>
      </c>
      <c r="G402" s="13">
        <v>19089</v>
      </c>
      <c r="H402" s="407"/>
    </row>
    <row r="403" spans="2:8" ht="15.75">
      <c r="B403" s="5" t="s">
        <v>185</v>
      </c>
      <c r="C403" s="187">
        <v>45932</v>
      </c>
      <c r="D403" s="482">
        <v>81244421</v>
      </c>
      <c r="E403" s="483"/>
      <c r="F403" s="237">
        <v>60</v>
      </c>
      <c r="G403" s="13">
        <v>180760</v>
      </c>
      <c r="H403" s="407"/>
    </row>
    <row r="404" spans="2:8" ht="15.75">
      <c r="B404" s="5" t="s">
        <v>3</v>
      </c>
      <c r="C404" s="187">
        <v>45932</v>
      </c>
      <c r="D404" s="482">
        <v>81244433</v>
      </c>
      <c r="E404" s="483"/>
      <c r="F404" s="237">
        <v>67</v>
      </c>
      <c r="G404" s="13">
        <v>302918</v>
      </c>
      <c r="H404" s="407"/>
    </row>
    <row r="405" spans="2:8" ht="15.75">
      <c r="B405" s="5" t="s">
        <v>4</v>
      </c>
      <c r="C405" s="187">
        <v>45932</v>
      </c>
      <c r="D405" s="482">
        <v>81244458</v>
      </c>
      <c r="E405" s="483"/>
      <c r="F405" s="237">
        <v>86</v>
      </c>
      <c r="G405" s="13">
        <v>319639</v>
      </c>
      <c r="H405" s="407"/>
    </row>
    <row r="406" spans="2:8" ht="15.75">
      <c r="B406" s="5" t="s">
        <v>10</v>
      </c>
      <c r="C406" s="187">
        <v>45933</v>
      </c>
      <c r="D406" s="482">
        <v>81244995</v>
      </c>
      <c r="E406" s="483"/>
      <c r="F406" s="237">
        <v>60</v>
      </c>
      <c r="G406" s="13">
        <v>275303</v>
      </c>
      <c r="H406" s="407"/>
    </row>
    <row r="407" spans="2:8" ht="15.75">
      <c r="B407" s="5" t="s">
        <v>11</v>
      </c>
      <c r="C407" s="187">
        <v>45933</v>
      </c>
      <c r="D407" s="482">
        <v>81244891</v>
      </c>
      <c r="E407" s="483"/>
      <c r="F407" s="237">
        <v>81</v>
      </c>
      <c r="G407" s="13">
        <v>288350</v>
      </c>
      <c r="H407" s="407"/>
    </row>
    <row r="408" spans="2:8" ht="15.75">
      <c r="B408" s="5" t="s">
        <v>12</v>
      </c>
      <c r="C408" s="187">
        <v>45934</v>
      </c>
      <c r="D408" s="482">
        <v>81245686</v>
      </c>
      <c r="E408" s="483"/>
      <c r="F408" s="237">
        <v>39</v>
      </c>
      <c r="G408" s="13">
        <v>173114</v>
      </c>
      <c r="H408" s="407"/>
    </row>
    <row r="409" spans="2:8" ht="15.75">
      <c r="B409" s="5" t="s">
        <v>13</v>
      </c>
      <c r="C409" s="187">
        <v>45934</v>
      </c>
      <c r="D409" s="482">
        <v>81245630</v>
      </c>
      <c r="E409" s="483"/>
      <c r="F409" s="237">
        <v>70</v>
      </c>
      <c r="G409" s="13">
        <v>274442</v>
      </c>
      <c r="H409" s="407"/>
    </row>
    <row r="410" spans="2:8" ht="15.75">
      <c r="B410" s="5" t="s">
        <v>14</v>
      </c>
      <c r="C410" s="187">
        <v>45936</v>
      </c>
      <c r="D410" s="482">
        <v>81245694</v>
      </c>
      <c r="E410" s="483"/>
      <c r="F410" s="248">
        <v>60</v>
      </c>
      <c r="G410" s="13">
        <v>315591</v>
      </c>
      <c r="H410" s="407"/>
    </row>
    <row r="411" spans="2:8" ht="15.75">
      <c r="B411" s="5" t="s">
        <v>15</v>
      </c>
      <c r="C411" s="187">
        <v>45936</v>
      </c>
      <c r="D411" s="482">
        <v>81246158</v>
      </c>
      <c r="E411" s="483"/>
      <c r="F411" s="248">
        <v>10</v>
      </c>
      <c r="G411" s="13">
        <v>38178</v>
      </c>
      <c r="H411" s="407"/>
    </row>
    <row r="412" spans="2:8" ht="15.75">
      <c r="B412" s="5" t="s">
        <v>16</v>
      </c>
      <c r="C412" s="187">
        <v>45937</v>
      </c>
      <c r="D412" s="482">
        <v>81247366</v>
      </c>
      <c r="E412" s="483"/>
      <c r="F412" s="248">
        <v>35</v>
      </c>
      <c r="G412" s="13">
        <v>172012</v>
      </c>
      <c r="H412" s="407"/>
    </row>
    <row r="413" spans="2:8" ht="15.75">
      <c r="B413" s="5" t="s">
        <v>17</v>
      </c>
      <c r="C413" s="187">
        <v>45937</v>
      </c>
      <c r="D413" s="482">
        <v>81247384</v>
      </c>
      <c r="E413" s="483"/>
      <c r="F413" s="248">
        <v>138</v>
      </c>
      <c r="G413" s="13">
        <v>590366</v>
      </c>
      <c r="H413" s="407"/>
    </row>
    <row r="414" spans="2:8" ht="15.75">
      <c r="B414" s="5" t="s">
        <v>44</v>
      </c>
      <c r="C414" s="187">
        <v>45937</v>
      </c>
      <c r="D414" s="482">
        <v>81247454</v>
      </c>
      <c r="E414" s="483"/>
      <c r="F414" s="248">
        <v>88</v>
      </c>
      <c r="G414" s="13">
        <v>363716</v>
      </c>
      <c r="H414" s="407"/>
    </row>
    <row r="415" spans="2:8" ht="15.75">
      <c r="B415" s="5" t="s">
        <v>45</v>
      </c>
      <c r="C415" s="187">
        <v>45937</v>
      </c>
      <c r="D415" s="482">
        <v>81247370</v>
      </c>
      <c r="E415" s="483"/>
      <c r="F415" s="297">
        <v>5</v>
      </c>
      <c r="G415" s="13">
        <v>16989</v>
      </c>
      <c r="H415" s="407"/>
    </row>
    <row r="416" spans="2:8" ht="15.75">
      <c r="B416" s="5" t="s">
        <v>50</v>
      </c>
      <c r="C416" s="187">
        <v>45938</v>
      </c>
      <c r="D416" s="482">
        <v>81248680</v>
      </c>
      <c r="E416" s="483"/>
      <c r="F416" s="297">
        <v>15</v>
      </c>
      <c r="G416" s="13">
        <v>53067</v>
      </c>
      <c r="H416" s="407"/>
    </row>
    <row r="417" spans="2:9" ht="15.75">
      <c r="B417" s="5" t="s">
        <v>52</v>
      </c>
      <c r="C417" s="187">
        <v>45938</v>
      </c>
      <c r="D417" s="482">
        <v>81248518</v>
      </c>
      <c r="E417" s="483"/>
      <c r="F417" s="297">
        <v>59</v>
      </c>
      <c r="G417" s="13">
        <v>270446</v>
      </c>
      <c r="H417" s="407"/>
    </row>
    <row r="418" spans="2:9" ht="15.75">
      <c r="B418" s="5" t="s">
        <v>54</v>
      </c>
      <c r="C418" s="187">
        <v>45938</v>
      </c>
      <c r="D418" s="482">
        <v>81248884</v>
      </c>
      <c r="E418" s="483"/>
      <c r="F418" s="297">
        <v>37</v>
      </c>
      <c r="G418" s="13">
        <v>166072</v>
      </c>
      <c r="H418" s="407"/>
    </row>
    <row r="419" spans="2:9" ht="15.75">
      <c r="B419" s="5" t="s">
        <v>55</v>
      </c>
      <c r="C419" s="187">
        <v>45938</v>
      </c>
      <c r="D419" s="482">
        <v>81248636</v>
      </c>
      <c r="E419" s="483"/>
      <c r="F419" s="297">
        <v>80</v>
      </c>
      <c r="G419" s="13">
        <v>334452</v>
      </c>
      <c r="H419" s="407"/>
    </row>
    <row r="420" spans="2:9" ht="15.75">
      <c r="B420" s="5" t="s">
        <v>58</v>
      </c>
      <c r="C420" s="187">
        <v>45939</v>
      </c>
      <c r="D420" s="482">
        <v>81249386</v>
      </c>
      <c r="E420" s="483"/>
      <c r="F420" s="297">
        <v>99</v>
      </c>
      <c r="G420" s="13">
        <v>400874</v>
      </c>
      <c r="H420" s="407"/>
    </row>
    <row r="421" spans="2:9" ht="15.75">
      <c r="B421" s="5" t="s">
        <v>59</v>
      </c>
      <c r="C421" s="187">
        <v>45939</v>
      </c>
      <c r="D421" s="482">
        <v>81249507</v>
      </c>
      <c r="E421" s="483"/>
      <c r="F421" s="248">
        <v>45</v>
      </c>
      <c r="G421" s="13">
        <v>154831</v>
      </c>
      <c r="H421" s="407"/>
    </row>
    <row r="422" spans="2:9" ht="15.75">
      <c r="B422" s="5" t="s">
        <v>68</v>
      </c>
      <c r="C422" s="187">
        <v>45939</v>
      </c>
      <c r="D422" s="482">
        <v>81249635</v>
      </c>
      <c r="E422" s="483"/>
      <c r="F422" s="299">
        <v>13</v>
      </c>
      <c r="G422" s="13">
        <v>47531</v>
      </c>
      <c r="H422" s="407"/>
    </row>
    <row r="423" spans="2:9" ht="15.75">
      <c r="B423" s="5" t="s">
        <v>69</v>
      </c>
      <c r="C423" s="187">
        <v>45939</v>
      </c>
      <c r="D423" s="482">
        <v>81249393</v>
      </c>
      <c r="E423" s="483"/>
      <c r="F423" s="299">
        <v>46</v>
      </c>
      <c r="G423" s="13">
        <v>256967</v>
      </c>
      <c r="H423" s="407"/>
    </row>
    <row r="424" spans="2:9" ht="15.75">
      <c r="B424" s="5" t="s">
        <v>70</v>
      </c>
      <c r="C424" s="187">
        <v>45940</v>
      </c>
      <c r="D424" s="482">
        <v>81250024</v>
      </c>
      <c r="E424" s="483"/>
      <c r="F424" s="299">
        <v>5</v>
      </c>
      <c r="G424" s="13">
        <v>16989</v>
      </c>
      <c r="H424" s="407"/>
    </row>
    <row r="425" spans="2:9" ht="15.75">
      <c r="B425" s="5" t="s">
        <v>71</v>
      </c>
      <c r="C425" s="187">
        <v>45940</v>
      </c>
      <c r="D425" s="482">
        <v>81249971</v>
      </c>
      <c r="E425" s="483"/>
      <c r="F425" s="299">
        <v>38</v>
      </c>
      <c r="G425" s="13">
        <v>224330</v>
      </c>
      <c r="H425" s="407"/>
    </row>
    <row r="426" spans="2:9" ht="15.75">
      <c r="B426" s="5" t="s">
        <v>100</v>
      </c>
      <c r="C426" s="187">
        <v>45940</v>
      </c>
      <c r="D426" s="482">
        <v>81249953</v>
      </c>
      <c r="E426" s="483"/>
      <c r="F426" s="299">
        <v>85</v>
      </c>
      <c r="G426" s="13">
        <v>302418</v>
      </c>
      <c r="H426" s="407"/>
    </row>
    <row r="427" spans="2:9" ht="15.75">
      <c r="B427" s="5" t="s">
        <v>101</v>
      </c>
      <c r="C427" s="187">
        <v>45940</v>
      </c>
      <c r="D427" s="482">
        <v>81250137</v>
      </c>
      <c r="E427" s="483"/>
      <c r="F427" s="248">
        <v>44</v>
      </c>
      <c r="G427" s="13">
        <v>166773</v>
      </c>
      <c r="H427" s="407"/>
    </row>
    <row r="428" spans="2:9" ht="15.75">
      <c r="B428" s="5" t="s">
        <v>102</v>
      </c>
      <c r="C428" s="187">
        <v>45941</v>
      </c>
      <c r="D428" s="482">
        <v>81250588</v>
      </c>
      <c r="E428" s="483"/>
      <c r="F428" s="302">
        <v>61</v>
      </c>
      <c r="G428" s="13">
        <v>305383</v>
      </c>
      <c r="H428" s="407"/>
    </row>
    <row r="429" spans="2:9" ht="15.75">
      <c r="B429" s="5" t="s">
        <v>106</v>
      </c>
      <c r="C429" s="187">
        <v>45941</v>
      </c>
      <c r="D429" s="482">
        <v>81250564</v>
      </c>
      <c r="E429" s="483"/>
      <c r="F429" s="302">
        <v>15</v>
      </c>
      <c r="G429" s="13">
        <v>55167</v>
      </c>
      <c r="H429" s="407"/>
    </row>
    <row r="430" spans="2:9" ht="15.75">
      <c r="B430" s="5" t="s">
        <v>114</v>
      </c>
      <c r="C430" s="187">
        <v>45941</v>
      </c>
      <c r="D430" s="482">
        <v>81250576</v>
      </c>
      <c r="E430" s="483"/>
      <c r="F430" s="302">
        <v>18</v>
      </c>
      <c r="G430" s="13">
        <v>74446</v>
      </c>
      <c r="H430" s="407"/>
    </row>
    <row r="431" spans="2:9" ht="15.75">
      <c r="B431" s="5" t="s">
        <v>115</v>
      </c>
      <c r="C431" s="187">
        <v>45941</v>
      </c>
      <c r="D431" s="482">
        <v>81250612</v>
      </c>
      <c r="E431" s="483"/>
      <c r="F431" s="302">
        <v>85</v>
      </c>
      <c r="G431" s="13">
        <v>318031</v>
      </c>
      <c r="H431" s="407"/>
    </row>
    <row r="432" spans="2:9" ht="15.75">
      <c r="B432" s="5" t="s">
        <v>117</v>
      </c>
      <c r="C432" s="187">
        <v>45943</v>
      </c>
      <c r="D432" s="482">
        <v>81251557</v>
      </c>
      <c r="E432" s="483"/>
      <c r="F432" s="302">
        <v>22</v>
      </c>
      <c r="G432" s="13"/>
      <c r="H432" s="8"/>
      <c r="I432" s="163">
        <v>79281</v>
      </c>
    </row>
    <row r="433" spans="2:8" ht="15.75">
      <c r="B433" s="5" t="s">
        <v>118</v>
      </c>
      <c r="C433" s="187">
        <v>45943</v>
      </c>
      <c r="D433" s="482">
        <v>81251489</v>
      </c>
      <c r="E433" s="483"/>
      <c r="F433" s="302">
        <v>8</v>
      </c>
      <c r="G433" s="13">
        <v>30542</v>
      </c>
      <c r="H433" s="407"/>
    </row>
    <row r="434" spans="2:8" ht="15.75">
      <c r="B434" s="5" t="s">
        <v>120</v>
      </c>
      <c r="C434" s="187">
        <v>45943</v>
      </c>
      <c r="D434" s="482">
        <v>81251519</v>
      </c>
      <c r="E434" s="483"/>
      <c r="F434" s="306">
        <v>26</v>
      </c>
      <c r="G434" s="13">
        <v>88021</v>
      </c>
      <c r="H434" s="407"/>
    </row>
    <row r="435" spans="2:8" ht="15.75">
      <c r="B435" s="5" t="s">
        <v>121</v>
      </c>
      <c r="C435" s="187">
        <v>45943</v>
      </c>
      <c r="D435" s="482">
        <v>81251556</v>
      </c>
      <c r="E435" s="483"/>
      <c r="F435" s="306">
        <v>21</v>
      </c>
      <c r="G435" s="13">
        <v>66811</v>
      </c>
      <c r="H435" s="407"/>
    </row>
    <row r="436" spans="2:8" ht="15.75">
      <c r="B436" s="5" t="s">
        <v>124</v>
      </c>
      <c r="C436" s="187">
        <v>45943</v>
      </c>
      <c r="D436" s="482">
        <v>81251761</v>
      </c>
      <c r="E436" s="483"/>
      <c r="F436" s="306">
        <v>82</v>
      </c>
      <c r="G436" s="13">
        <v>284139</v>
      </c>
      <c r="H436" s="407"/>
    </row>
    <row r="437" spans="2:8" ht="15.75">
      <c r="B437" s="5" t="s">
        <v>125</v>
      </c>
      <c r="C437" s="187">
        <v>45944</v>
      </c>
      <c r="D437" s="482">
        <v>81252273</v>
      </c>
      <c r="E437" s="483"/>
      <c r="F437" s="306">
        <v>5</v>
      </c>
      <c r="G437" s="13">
        <v>19089</v>
      </c>
      <c r="H437" s="407"/>
    </row>
    <row r="438" spans="2:8" ht="15.75">
      <c r="B438" s="5" t="s">
        <v>144</v>
      </c>
      <c r="C438" s="187">
        <v>45944</v>
      </c>
      <c r="D438" s="482">
        <v>81252161</v>
      </c>
      <c r="E438" s="483"/>
      <c r="F438" s="308">
        <v>48</v>
      </c>
      <c r="G438" s="13">
        <v>230020</v>
      </c>
      <c r="H438" s="407"/>
    </row>
    <row r="439" spans="2:8" ht="15.75">
      <c r="B439" s="5" t="s">
        <v>145</v>
      </c>
      <c r="C439" s="187">
        <v>45944</v>
      </c>
      <c r="D439" s="482">
        <v>81252407</v>
      </c>
      <c r="E439" s="483"/>
      <c r="F439" s="308">
        <v>35</v>
      </c>
      <c r="G439" s="13">
        <v>128001</v>
      </c>
      <c r="H439" s="407"/>
    </row>
    <row r="440" spans="2:8" ht="15.75">
      <c r="B440" s="5" t="s">
        <v>150</v>
      </c>
      <c r="C440" s="187">
        <v>45944</v>
      </c>
      <c r="D440" s="482">
        <v>81252239</v>
      </c>
      <c r="E440" s="483"/>
      <c r="F440" s="308">
        <v>75</v>
      </c>
      <c r="G440" s="13">
        <v>279193</v>
      </c>
      <c r="H440" s="407"/>
    </row>
    <row r="441" spans="2:8" ht="15.75">
      <c r="B441" s="5" t="s">
        <v>151</v>
      </c>
      <c r="C441" s="187">
        <v>45945</v>
      </c>
      <c r="D441" s="482">
        <v>81253317</v>
      </c>
      <c r="E441" s="483"/>
      <c r="F441" s="308">
        <v>28</v>
      </c>
      <c r="G441" s="13">
        <v>95961</v>
      </c>
      <c r="H441" s="407"/>
    </row>
    <row r="442" spans="2:8" ht="15.75">
      <c r="B442" s="5" t="s">
        <v>152</v>
      </c>
      <c r="C442" s="187">
        <v>45945</v>
      </c>
      <c r="D442" s="482">
        <v>81253310</v>
      </c>
      <c r="E442" s="483"/>
      <c r="F442" s="308">
        <v>45</v>
      </c>
      <c r="G442" s="13">
        <v>179435</v>
      </c>
      <c r="H442" s="407"/>
    </row>
    <row r="443" spans="2:8" ht="15.75">
      <c r="B443" s="5" t="s">
        <v>153</v>
      </c>
      <c r="C443" s="187">
        <v>45946</v>
      </c>
      <c r="D443" s="482">
        <v>81254431</v>
      </c>
      <c r="E443" s="483"/>
      <c r="F443" s="308">
        <v>78</v>
      </c>
      <c r="G443" s="13">
        <v>307628</v>
      </c>
      <c r="H443" s="407"/>
    </row>
    <row r="444" spans="2:8" ht="15.75">
      <c r="B444" s="5" t="s">
        <v>160</v>
      </c>
      <c r="C444" s="187">
        <v>45946</v>
      </c>
      <c r="D444" s="482">
        <v>81254402</v>
      </c>
      <c r="E444" s="483"/>
      <c r="F444" s="308">
        <v>60</v>
      </c>
      <c r="G444" s="13">
        <v>248154</v>
      </c>
      <c r="H444" s="407"/>
    </row>
    <row r="445" spans="2:8" ht="15.75">
      <c r="B445" s="5" t="s">
        <v>161</v>
      </c>
      <c r="C445" s="187">
        <v>45946</v>
      </c>
      <c r="D445" s="482">
        <v>81254369</v>
      </c>
      <c r="E445" s="483"/>
      <c r="F445" s="308">
        <v>116</v>
      </c>
      <c r="G445" s="13">
        <v>543813</v>
      </c>
      <c r="H445" s="407"/>
    </row>
    <row r="446" spans="2:8" ht="15.75">
      <c r="B446" s="5" t="s">
        <v>162</v>
      </c>
      <c r="C446" s="187">
        <v>45946</v>
      </c>
      <c r="D446" s="482">
        <v>81254489</v>
      </c>
      <c r="E446" s="483"/>
      <c r="F446" s="308">
        <v>15</v>
      </c>
      <c r="G446" s="13">
        <v>55167</v>
      </c>
      <c r="H446" s="407"/>
    </row>
    <row r="447" spans="2:8" ht="15.75">
      <c r="B447" s="5" t="s">
        <v>163</v>
      </c>
      <c r="C447" s="187">
        <v>45947</v>
      </c>
      <c r="D447" s="482">
        <v>81255083</v>
      </c>
      <c r="E447" s="483"/>
      <c r="F447" s="308">
        <v>175</v>
      </c>
      <c r="G447" s="13">
        <v>641782</v>
      </c>
      <c r="H447" s="407"/>
    </row>
    <row r="448" spans="2:8" ht="15.75">
      <c r="B448" s="5" t="s">
        <v>175</v>
      </c>
      <c r="C448" s="187">
        <v>45947</v>
      </c>
      <c r="D448" s="482">
        <v>81255129</v>
      </c>
      <c r="E448" s="483"/>
      <c r="F448" s="346">
        <v>25</v>
      </c>
      <c r="G448" s="13">
        <v>97088</v>
      </c>
      <c r="H448" s="407"/>
    </row>
    <row r="449" spans="2:8" ht="15.75">
      <c r="B449" s="5" t="s">
        <v>300</v>
      </c>
      <c r="C449" s="187">
        <v>45947</v>
      </c>
      <c r="D449" s="482">
        <v>81255097</v>
      </c>
      <c r="E449" s="483"/>
      <c r="F449" s="346">
        <v>30</v>
      </c>
      <c r="G449" s="13">
        <v>114533</v>
      </c>
      <c r="H449" s="407"/>
    </row>
    <row r="450" spans="2:8" ht="15.75">
      <c r="B450" s="5" t="s">
        <v>301</v>
      </c>
      <c r="C450" s="187">
        <v>45948</v>
      </c>
      <c r="D450" s="482">
        <v>81256061</v>
      </c>
      <c r="E450" s="483"/>
      <c r="F450" s="346">
        <v>15</v>
      </c>
      <c r="G450" s="13">
        <v>68720</v>
      </c>
      <c r="H450" s="407"/>
    </row>
    <row r="451" spans="2:8" ht="15.75">
      <c r="B451" s="5" t="s">
        <v>302</v>
      </c>
      <c r="C451" s="187">
        <v>45948</v>
      </c>
      <c r="D451" s="482">
        <v>81255944</v>
      </c>
      <c r="E451" s="483"/>
      <c r="F451" s="346">
        <v>138</v>
      </c>
      <c r="G451" s="13">
        <v>495037</v>
      </c>
      <c r="H451" s="407"/>
    </row>
    <row r="452" spans="2:8" ht="15.75">
      <c r="B452" s="5" t="s">
        <v>320</v>
      </c>
      <c r="C452" s="187">
        <v>45948</v>
      </c>
      <c r="D452" s="482">
        <v>81255984</v>
      </c>
      <c r="E452" s="483"/>
      <c r="F452" s="346">
        <v>60</v>
      </c>
      <c r="G452" s="13">
        <v>276787</v>
      </c>
      <c r="H452" s="407"/>
    </row>
    <row r="453" spans="2:8" ht="15.75">
      <c r="B453" s="5" t="s">
        <v>321</v>
      </c>
      <c r="C453" s="187">
        <v>45948</v>
      </c>
      <c r="D453" s="482">
        <v>81256121</v>
      </c>
      <c r="E453" s="483"/>
      <c r="F453" s="346">
        <v>15</v>
      </c>
      <c r="G453" s="13">
        <v>57266</v>
      </c>
      <c r="H453" s="407"/>
    </row>
    <row r="454" spans="2:8" ht="15.75">
      <c r="B454" s="5" t="s">
        <v>322</v>
      </c>
      <c r="C454" s="187">
        <v>45950</v>
      </c>
      <c r="D454" s="482">
        <v>81257189</v>
      </c>
      <c r="E454" s="483"/>
      <c r="F454" s="346">
        <v>45</v>
      </c>
      <c r="G454" s="13">
        <v>236701</v>
      </c>
      <c r="H454" s="407"/>
    </row>
    <row r="455" spans="2:8" ht="15.75">
      <c r="B455" s="5" t="s">
        <v>323</v>
      </c>
      <c r="C455" s="187">
        <v>45950</v>
      </c>
      <c r="D455" s="482">
        <v>81257225</v>
      </c>
      <c r="E455" s="483"/>
      <c r="F455" s="346">
        <v>5</v>
      </c>
      <c r="G455" s="13">
        <v>22907</v>
      </c>
      <c r="H455" s="407"/>
    </row>
    <row r="456" spans="2:8" ht="15.75">
      <c r="B456" s="5" t="s">
        <v>357</v>
      </c>
      <c r="C456" s="187">
        <v>45950</v>
      </c>
      <c r="D456" s="482">
        <v>81257323</v>
      </c>
      <c r="E456" s="483"/>
      <c r="F456" s="306">
        <v>54</v>
      </c>
      <c r="G456" s="13">
        <v>224054</v>
      </c>
      <c r="H456" s="407"/>
    </row>
    <row r="457" spans="2:8" ht="15.75">
      <c r="B457" s="5" t="s">
        <v>358</v>
      </c>
      <c r="C457" s="187">
        <v>45951</v>
      </c>
      <c r="D457" s="482">
        <v>81258103</v>
      </c>
      <c r="E457" s="483"/>
      <c r="F457" s="347">
        <v>35</v>
      </c>
      <c r="G457" s="13">
        <v>133622</v>
      </c>
      <c r="H457" s="407"/>
    </row>
    <row r="458" spans="2:8" ht="15.75">
      <c r="B458" s="5" t="s">
        <v>359</v>
      </c>
      <c r="C458" s="187">
        <v>45951</v>
      </c>
      <c r="D458" s="482">
        <v>81257822</v>
      </c>
      <c r="E458" s="483"/>
      <c r="F458" s="347">
        <v>88</v>
      </c>
      <c r="G458" s="13">
        <v>324467</v>
      </c>
      <c r="H458" s="407"/>
    </row>
    <row r="459" spans="2:8" ht="15.75">
      <c r="B459" s="5" t="s">
        <v>360</v>
      </c>
      <c r="C459" s="187">
        <v>45951</v>
      </c>
      <c r="D459" s="482">
        <v>81257826</v>
      </c>
      <c r="E459" s="483"/>
      <c r="F459" s="347">
        <v>17</v>
      </c>
      <c r="G459" s="13">
        <v>53295</v>
      </c>
      <c r="H459" s="407"/>
    </row>
    <row r="460" spans="2:8" ht="15.75">
      <c r="B460" s="5" t="s">
        <v>361</v>
      </c>
      <c r="C460" s="187">
        <v>45951</v>
      </c>
      <c r="D460" s="482">
        <v>81257943</v>
      </c>
      <c r="E460" s="483"/>
      <c r="F460" s="347">
        <v>170</v>
      </c>
      <c r="G460" s="13">
        <v>609289</v>
      </c>
      <c r="H460" s="407"/>
    </row>
    <row r="461" spans="2:8" ht="15.75">
      <c r="B461" s="5" t="s">
        <v>362</v>
      </c>
      <c r="C461" s="187">
        <v>45952</v>
      </c>
      <c r="D461" s="482">
        <v>81258908</v>
      </c>
      <c r="E461" s="483"/>
      <c r="F461" s="354">
        <v>50</v>
      </c>
      <c r="G461" s="13">
        <v>200432</v>
      </c>
      <c r="H461" s="407"/>
    </row>
    <row r="462" spans="2:8" ht="15.75">
      <c r="B462" s="5" t="s">
        <v>363</v>
      </c>
      <c r="C462" s="187">
        <v>45952</v>
      </c>
      <c r="D462" s="482">
        <v>81258847</v>
      </c>
      <c r="E462" s="483"/>
      <c r="F462" s="354">
        <v>84</v>
      </c>
      <c r="G462" s="13">
        <v>292739</v>
      </c>
      <c r="H462" s="407"/>
    </row>
    <row r="463" spans="2:8" ht="15.75">
      <c r="B463" s="5" t="s">
        <v>364</v>
      </c>
      <c r="C463" s="187">
        <v>45953</v>
      </c>
      <c r="D463" s="482">
        <v>81259107</v>
      </c>
      <c r="E463" s="483"/>
      <c r="F463" s="354">
        <v>5</v>
      </c>
      <c r="G463" s="13">
        <v>19089</v>
      </c>
      <c r="H463" s="407"/>
    </row>
    <row r="464" spans="2:8" ht="15.75">
      <c r="B464" s="5" t="s">
        <v>371</v>
      </c>
      <c r="C464" s="187">
        <v>45953</v>
      </c>
      <c r="D464" s="482">
        <v>81258914</v>
      </c>
      <c r="E464" s="483"/>
      <c r="F464" s="354">
        <v>28</v>
      </c>
      <c r="G464" s="13">
        <v>104707</v>
      </c>
      <c r="H464" s="407"/>
    </row>
    <row r="465" spans="2:8" ht="15.75">
      <c r="B465" s="5" t="s">
        <v>372</v>
      </c>
      <c r="C465" s="187">
        <v>45953</v>
      </c>
      <c r="D465" s="482">
        <v>81259748</v>
      </c>
      <c r="E465" s="483"/>
      <c r="F465" s="354">
        <v>170</v>
      </c>
      <c r="G465" s="13">
        <v>580322</v>
      </c>
      <c r="H465" s="407"/>
    </row>
    <row r="466" spans="2:8" ht="15.75">
      <c r="B466" s="5" t="s">
        <v>373</v>
      </c>
      <c r="C466" s="187">
        <v>45953</v>
      </c>
      <c r="D466" s="482">
        <v>81259736</v>
      </c>
      <c r="E466" s="483"/>
      <c r="F466" s="354">
        <v>8</v>
      </c>
      <c r="G466" s="13">
        <v>40087</v>
      </c>
      <c r="H466" s="407"/>
    </row>
    <row r="467" spans="2:8" ht="15.75">
      <c r="B467" s="5" t="s">
        <v>374</v>
      </c>
      <c r="C467" s="187">
        <v>45953</v>
      </c>
      <c r="D467" s="482">
        <v>81259728</v>
      </c>
      <c r="E467" s="483"/>
      <c r="F467" s="354">
        <v>71</v>
      </c>
      <c r="G467" s="13">
        <v>312876</v>
      </c>
      <c r="H467" s="407"/>
    </row>
    <row r="468" spans="2:8" ht="15.75">
      <c r="B468" s="5" t="s">
        <v>383</v>
      </c>
      <c r="C468" s="187">
        <v>45953</v>
      </c>
      <c r="D468" s="482">
        <v>81259945</v>
      </c>
      <c r="E468" s="483"/>
      <c r="F468" s="354">
        <v>20</v>
      </c>
      <c r="G468" s="13">
        <v>94914</v>
      </c>
      <c r="H468" s="407"/>
    </row>
    <row r="469" spans="2:8" ht="15.75">
      <c r="B469" s="5" t="s">
        <v>384</v>
      </c>
      <c r="C469" s="187">
        <v>45954</v>
      </c>
      <c r="D469" s="482">
        <v>81260438</v>
      </c>
      <c r="E469" s="483"/>
      <c r="F469" s="355">
        <v>30</v>
      </c>
      <c r="G469" s="13">
        <v>137439</v>
      </c>
      <c r="H469" s="407"/>
    </row>
    <row r="470" spans="2:8" ht="15.75">
      <c r="B470" s="5" t="s">
        <v>391</v>
      </c>
      <c r="C470" s="187">
        <v>45954</v>
      </c>
      <c r="D470" s="482">
        <v>81260315</v>
      </c>
      <c r="E470" s="483"/>
      <c r="F470" s="355">
        <v>45</v>
      </c>
      <c r="G470" s="13">
        <v>152503</v>
      </c>
      <c r="H470" s="407"/>
    </row>
    <row r="471" spans="2:8" ht="15.75">
      <c r="B471" s="5" t="s">
        <v>392</v>
      </c>
      <c r="C471" s="187">
        <v>45954</v>
      </c>
      <c r="D471" s="482">
        <v>81260335</v>
      </c>
      <c r="E471" s="483"/>
      <c r="F471" s="355">
        <v>30</v>
      </c>
      <c r="G471" s="13">
        <v>114533</v>
      </c>
      <c r="H471" s="407"/>
    </row>
    <row r="472" spans="2:8" ht="15.75">
      <c r="B472" s="5" t="s">
        <v>400</v>
      </c>
      <c r="C472" s="187">
        <v>45954</v>
      </c>
      <c r="D472" s="482">
        <v>81260361</v>
      </c>
      <c r="E472" s="483"/>
      <c r="F472" s="355">
        <v>20</v>
      </c>
      <c r="G472" s="13">
        <v>71716</v>
      </c>
      <c r="H472" s="407"/>
    </row>
    <row r="473" spans="2:8" ht="15.75">
      <c r="B473" s="5" t="s">
        <v>401</v>
      </c>
      <c r="C473" s="187">
        <v>45955</v>
      </c>
      <c r="D473" s="482">
        <v>81261080</v>
      </c>
      <c r="E473" s="483"/>
      <c r="F473" s="355">
        <v>90</v>
      </c>
      <c r="G473" s="13">
        <v>314598</v>
      </c>
      <c r="H473" s="407"/>
    </row>
    <row r="474" spans="2:8" ht="15.75">
      <c r="B474" s="5" t="s">
        <v>402</v>
      </c>
      <c r="C474" s="187">
        <v>45955</v>
      </c>
      <c r="D474" s="482">
        <v>81261188</v>
      </c>
      <c r="E474" s="483"/>
      <c r="F474" s="355">
        <v>75</v>
      </c>
      <c r="G474" s="13">
        <v>278908</v>
      </c>
      <c r="H474" s="407"/>
    </row>
    <row r="475" spans="2:8" ht="15.75">
      <c r="B475" s="5" t="s">
        <v>403</v>
      </c>
      <c r="C475" s="187">
        <v>45957</v>
      </c>
      <c r="D475" s="482">
        <v>81262225</v>
      </c>
      <c r="E475" s="483"/>
      <c r="F475" s="355">
        <v>51</v>
      </c>
      <c r="G475" s="13">
        <v>206425</v>
      </c>
      <c r="H475" s="407"/>
    </row>
    <row r="476" spans="2:8" ht="15.75">
      <c r="B476" s="5" t="s">
        <v>411</v>
      </c>
      <c r="C476" s="187">
        <v>45957</v>
      </c>
      <c r="D476" s="482">
        <v>81262290</v>
      </c>
      <c r="E476" s="483"/>
      <c r="F476" s="367">
        <v>21</v>
      </c>
      <c r="G476" s="13">
        <v>82845</v>
      </c>
      <c r="H476" s="407"/>
    </row>
    <row r="477" spans="2:8" ht="15.75">
      <c r="B477" s="5" t="s">
        <v>412</v>
      </c>
      <c r="C477" s="187">
        <v>45957</v>
      </c>
      <c r="D477" s="482">
        <v>81261700</v>
      </c>
      <c r="E477" s="483"/>
      <c r="F477" s="367">
        <v>59</v>
      </c>
      <c r="G477" s="13">
        <v>477601</v>
      </c>
      <c r="H477" s="407"/>
    </row>
    <row r="478" spans="2:8" ht="15.75">
      <c r="B478" s="5" t="s">
        <v>604</v>
      </c>
      <c r="C478" s="187">
        <v>45957</v>
      </c>
      <c r="D478" s="482">
        <v>81261603</v>
      </c>
      <c r="E478" s="483"/>
      <c r="F478" s="367">
        <v>37</v>
      </c>
      <c r="G478" s="13">
        <v>141257</v>
      </c>
      <c r="H478" s="407"/>
    </row>
    <row r="479" spans="2:8" ht="15.75">
      <c r="B479" s="5" t="s">
        <v>605</v>
      </c>
      <c r="C479" s="187">
        <v>45958</v>
      </c>
      <c r="D479" s="482">
        <v>81262822</v>
      </c>
      <c r="E479" s="483"/>
      <c r="F479" s="367">
        <v>215</v>
      </c>
      <c r="G479" s="13">
        <v>806143</v>
      </c>
      <c r="H479" s="407"/>
    </row>
    <row r="480" spans="2:8" ht="15.75">
      <c r="B480" s="5" t="s">
        <v>615</v>
      </c>
      <c r="C480" s="187">
        <v>45958</v>
      </c>
      <c r="D480" s="482">
        <v>81262884</v>
      </c>
      <c r="E480" s="483"/>
      <c r="F480" s="367">
        <v>25</v>
      </c>
      <c r="G480" s="13">
        <v>124077</v>
      </c>
      <c r="H480" s="407"/>
    </row>
    <row r="481" spans="2:19" ht="15.75">
      <c r="B481" s="5" t="s">
        <v>1033</v>
      </c>
      <c r="C481" s="187">
        <v>45958</v>
      </c>
      <c r="D481" s="482">
        <v>81262931</v>
      </c>
      <c r="E481" s="483"/>
      <c r="F481" s="367">
        <v>42</v>
      </c>
      <c r="G481" s="13">
        <v>167918</v>
      </c>
      <c r="H481" s="407"/>
      <c r="S481">
        <v>14900</v>
      </c>
    </row>
    <row r="482" spans="2:19" ht="15.75">
      <c r="B482" s="5" t="s">
        <v>1040</v>
      </c>
      <c r="C482" s="187">
        <v>45958</v>
      </c>
      <c r="D482" s="482">
        <v>81262829</v>
      </c>
      <c r="E482" s="483"/>
      <c r="F482" s="367">
        <v>35</v>
      </c>
      <c r="G482" s="13">
        <v>133622</v>
      </c>
      <c r="H482" s="407"/>
      <c r="S482">
        <v>2500</v>
      </c>
    </row>
    <row r="483" spans="2:19" ht="15.75">
      <c r="B483" s="5" t="s">
        <v>1058</v>
      </c>
      <c r="C483" s="187">
        <v>45959</v>
      </c>
      <c r="D483" s="482">
        <v>81264089</v>
      </c>
      <c r="E483" s="483"/>
      <c r="F483" s="369">
        <v>57</v>
      </c>
      <c r="G483" s="13">
        <v>225885</v>
      </c>
      <c r="H483" s="407"/>
      <c r="S483">
        <v>5000</v>
      </c>
    </row>
    <row r="484" spans="2:19" ht="15.75">
      <c r="B484" s="5" t="s">
        <v>1059</v>
      </c>
      <c r="C484" s="187">
        <v>45959</v>
      </c>
      <c r="D484" s="482">
        <v>81264046</v>
      </c>
      <c r="E484" s="483"/>
      <c r="F484" s="369">
        <v>33</v>
      </c>
      <c r="G484" s="13">
        <v>141257</v>
      </c>
      <c r="H484" s="407"/>
      <c r="S484">
        <v>2500</v>
      </c>
    </row>
    <row r="485" spans="2:19" ht="15.75">
      <c r="B485" s="5" t="s">
        <v>1060</v>
      </c>
      <c r="C485" s="187">
        <v>45959</v>
      </c>
      <c r="D485" s="482">
        <v>81264042</v>
      </c>
      <c r="E485" s="483"/>
      <c r="F485" s="371">
        <v>25</v>
      </c>
      <c r="G485" s="13">
        <v>104723</v>
      </c>
      <c r="H485" s="407"/>
      <c r="S485">
        <v>50000</v>
      </c>
    </row>
    <row r="486" spans="2:19" ht="15.75">
      <c r="B486" s="5" t="s">
        <v>1058</v>
      </c>
      <c r="C486" s="187">
        <v>45959</v>
      </c>
      <c r="D486" s="482">
        <v>81264186</v>
      </c>
      <c r="E486" s="483"/>
      <c r="F486" s="371">
        <v>60</v>
      </c>
      <c r="G486" s="13">
        <v>220009</v>
      </c>
      <c r="H486" s="407"/>
      <c r="S486">
        <v>1500</v>
      </c>
    </row>
    <row r="487" spans="2:19" ht="15.75">
      <c r="B487" s="5" t="s">
        <v>1061</v>
      </c>
      <c r="C487" s="187">
        <v>45960</v>
      </c>
      <c r="D487" s="482">
        <v>81265113</v>
      </c>
      <c r="E487" s="483"/>
      <c r="F487" s="371">
        <v>39</v>
      </c>
      <c r="G487" s="13">
        <v>139136</v>
      </c>
      <c r="H487" s="407"/>
      <c r="S487">
        <v>2000</v>
      </c>
    </row>
    <row r="488" spans="2:19" ht="15.75">
      <c r="B488" s="5" t="s">
        <v>1062</v>
      </c>
      <c r="C488" s="187">
        <v>45960</v>
      </c>
      <c r="D488" s="482">
        <v>81265197</v>
      </c>
      <c r="E488" s="483"/>
      <c r="F488" s="369">
        <v>5</v>
      </c>
      <c r="G488" s="13">
        <v>19089</v>
      </c>
      <c r="H488" s="407"/>
      <c r="S488">
        <v>1000</v>
      </c>
    </row>
    <row r="489" spans="2:19" ht="15.75">
      <c r="B489" s="5" t="s">
        <v>1063</v>
      </c>
      <c r="C489" s="187">
        <v>45960</v>
      </c>
      <c r="D489" s="482">
        <v>81265129</v>
      </c>
      <c r="E489" s="483"/>
      <c r="F489" s="369">
        <v>140</v>
      </c>
      <c r="G489" s="13">
        <v>556556</v>
      </c>
      <c r="H489" s="407"/>
      <c r="S489">
        <v>2000</v>
      </c>
    </row>
    <row r="490" spans="2:19" ht="15.75">
      <c r="B490" s="5" t="s">
        <v>1064</v>
      </c>
      <c r="C490" s="187">
        <v>45960</v>
      </c>
      <c r="D490" s="482">
        <v>81265143</v>
      </c>
      <c r="E490" s="483"/>
      <c r="F490" s="367">
        <v>33</v>
      </c>
      <c r="G490" s="13">
        <v>147811</v>
      </c>
      <c r="H490" s="407"/>
      <c r="S490" s="57">
        <f>SUM(S481:S489)</f>
        <v>81400</v>
      </c>
    </row>
    <row r="491" spans="2:19" ht="15.75">
      <c r="B491" s="5" t="s">
        <v>1065</v>
      </c>
      <c r="C491" s="187">
        <v>45961</v>
      </c>
      <c r="D491" s="482">
        <v>81265990</v>
      </c>
      <c r="E491" s="483"/>
      <c r="F491" s="347">
        <v>168</v>
      </c>
      <c r="G491" s="13">
        <v>617402</v>
      </c>
      <c r="H491" s="407"/>
    </row>
    <row r="492" spans="2:19" ht="15.75">
      <c r="B492" s="5" t="s">
        <v>398</v>
      </c>
      <c r="C492" s="187">
        <v>45961</v>
      </c>
      <c r="D492" s="482">
        <v>81265884</v>
      </c>
      <c r="E492" s="483"/>
      <c r="F492" s="248">
        <v>117</v>
      </c>
      <c r="G492" s="13">
        <v>442435</v>
      </c>
      <c r="H492" s="407"/>
      <c r="I492" s="353">
        <v>45953</v>
      </c>
    </row>
    <row r="493" spans="2:19" ht="15.75">
      <c r="B493" s="5"/>
      <c r="C493" s="15"/>
      <c r="D493" s="482"/>
      <c r="E493" s="483"/>
      <c r="F493" s="237"/>
      <c r="G493" s="13"/>
      <c r="H493" s="8"/>
      <c r="I493" s="351" t="s">
        <v>935</v>
      </c>
      <c r="J493" s="352">
        <v>1</v>
      </c>
      <c r="K493" s="351" t="s">
        <v>38</v>
      </c>
    </row>
    <row r="494" spans="2:19" ht="15.75">
      <c r="B494" s="5"/>
      <c r="C494" s="8"/>
      <c r="D494" s="8"/>
      <c r="E494" s="8"/>
      <c r="F494" s="403">
        <f>SUM(F401:F492)</f>
        <v>4973</v>
      </c>
      <c r="G494" s="9">
        <f>SUM(G401:G493)</f>
        <v>19858820</v>
      </c>
      <c r="H494" s="8"/>
      <c r="I494" s="349">
        <v>4907</v>
      </c>
      <c r="J494" s="349">
        <f>I494/100*100</f>
        <v>4907</v>
      </c>
      <c r="K494" s="350">
        <f>J494-F494</f>
        <v>-66</v>
      </c>
    </row>
    <row r="495" spans="2:19" ht="15.75">
      <c r="B495" s="501" t="s">
        <v>9</v>
      </c>
      <c r="C495" s="502"/>
      <c r="D495" s="3" t="s">
        <v>0</v>
      </c>
      <c r="E495" s="8"/>
      <c r="F495" s="8"/>
      <c r="G495" s="8"/>
      <c r="H495" s="8"/>
    </row>
    <row r="496" spans="2:19" ht="15.75">
      <c r="B496" s="501"/>
      <c r="C496" s="502"/>
      <c r="D496" s="3"/>
      <c r="E496" s="75"/>
      <c r="F496" s="75"/>
      <c r="G496" s="9"/>
      <c r="H496" s="8"/>
    </row>
    <row r="497" spans="2:8">
      <c r="B497" s="503"/>
      <c r="C497" s="503"/>
      <c r="H497" s="11"/>
    </row>
    <row r="498" spans="2:8" ht="15.75">
      <c r="B498" s="488" t="s">
        <v>260</v>
      </c>
      <c r="C498" s="494"/>
      <c r="D498" s="76"/>
      <c r="E498" s="25"/>
      <c r="F498" s="25"/>
      <c r="G498" s="18">
        <v>-67416</v>
      </c>
      <c r="H498" s="11"/>
    </row>
    <row r="499" spans="2:8" ht="15.75">
      <c r="B499" s="488" t="s">
        <v>616</v>
      </c>
      <c r="C499" s="494"/>
      <c r="D499" s="300">
        <v>45931</v>
      </c>
      <c r="E499" s="40"/>
      <c r="F499" s="40"/>
      <c r="G499" s="18">
        <v>800000</v>
      </c>
      <c r="H499" s="11"/>
    </row>
    <row r="500" spans="2:8" ht="15.75">
      <c r="B500" s="488" t="s">
        <v>663</v>
      </c>
      <c r="C500" s="494"/>
      <c r="D500" s="300">
        <v>45932</v>
      </c>
      <c r="E500" s="40"/>
      <c r="F500" s="40"/>
      <c r="G500" s="18">
        <v>800000</v>
      </c>
      <c r="H500" s="11"/>
    </row>
    <row r="501" spans="2:8" ht="15.75">
      <c r="B501" s="488" t="s">
        <v>664</v>
      </c>
      <c r="C501" s="494"/>
      <c r="D501" s="300">
        <v>45933</v>
      </c>
      <c r="E501" s="40"/>
      <c r="F501" s="40"/>
      <c r="G501" s="18">
        <v>750000</v>
      </c>
      <c r="H501" s="11"/>
    </row>
    <row r="502" spans="2:8" ht="15.75">
      <c r="B502" s="488" t="s">
        <v>701</v>
      </c>
      <c r="C502" s="494"/>
      <c r="D502" s="300">
        <v>45936</v>
      </c>
      <c r="E502" s="40"/>
      <c r="F502" s="40"/>
      <c r="G502" s="18">
        <v>1115000</v>
      </c>
      <c r="H502" s="11"/>
    </row>
    <row r="503" spans="2:8" ht="15.75">
      <c r="B503" s="488" t="s">
        <v>715</v>
      </c>
      <c r="C503" s="494"/>
      <c r="D503" s="300">
        <v>45937</v>
      </c>
      <c r="E503" s="40"/>
      <c r="F503" s="40"/>
      <c r="G503" s="18">
        <v>800000</v>
      </c>
      <c r="H503" s="11"/>
    </row>
    <row r="504" spans="2:8" ht="15.75">
      <c r="B504" s="488" t="s">
        <v>729</v>
      </c>
      <c r="C504" s="494"/>
      <c r="D504" s="300">
        <v>45938</v>
      </c>
      <c r="E504" s="40"/>
      <c r="F504" s="40"/>
      <c r="G504" s="18">
        <v>800000</v>
      </c>
      <c r="H504" s="11"/>
    </row>
    <row r="505" spans="2:8" ht="15.75">
      <c r="B505" s="488" t="s">
        <v>745</v>
      </c>
      <c r="C505" s="494"/>
      <c r="D505" s="300">
        <v>45939</v>
      </c>
      <c r="E505" s="40"/>
      <c r="F505" s="40"/>
      <c r="G505" s="18">
        <v>750000</v>
      </c>
      <c r="H505" s="11"/>
    </row>
    <row r="506" spans="2:8" ht="15.75">
      <c r="B506" s="488" t="s">
        <v>765</v>
      </c>
      <c r="C506" s="494"/>
      <c r="D506" s="300">
        <v>45940</v>
      </c>
      <c r="E506" s="40"/>
      <c r="F506" s="40"/>
      <c r="G506" s="18">
        <v>800000</v>
      </c>
      <c r="H506" s="11"/>
    </row>
    <row r="507" spans="2:8" ht="15.75">
      <c r="B507" s="488" t="s">
        <v>479</v>
      </c>
      <c r="C507" s="489"/>
      <c r="D507" s="300">
        <v>45941</v>
      </c>
      <c r="E507" s="40"/>
      <c r="F507" s="40"/>
      <c r="G507" s="18">
        <v>600000</v>
      </c>
      <c r="H507" s="11"/>
    </row>
    <row r="508" spans="2:8" ht="15.75">
      <c r="B508" s="488" t="s">
        <v>788</v>
      </c>
      <c r="C508" s="494"/>
      <c r="D508" s="300">
        <v>45943</v>
      </c>
      <c r="E508" s="40"/>
      <c r="F508" s="40"/>
      <c r="G508" s="18">
        <v>540000</v>
      </c>
      <c r="H508" s="11"/>
    </row>
    <row r="509" spans="2:8" ht="15.75">
      <c r="B509" s="488" t="s">
        <v>804</v>
      </c>
      <c r="C509" s="494"/>
      <c r="D509" s="300">
        <v>45944</v>
      </c>
      <c r="E509" s="40"/>
      <c r="F509" s="40"/>
      <c r="G509" s="18">
        <v>750000</v>
      </c>
      <c r="H509" s="11"/>
    </row>
    <row r="510" spans="2:8" ht="15.75">
      <c r="B510" s="488" t="s">
        <v>851</v>
      </c>
      <c r="C510" s="494"/>
      <c r="D510" s="300">
        <v>45945</v>
      </c>
      <c r="E510" s="40"/>
      <c r="F510" s="40"/>
      <c r="G510" s="18">
        <v>800000</v>
      </c>
      <c r="H510" s="11"/>
    </row>
    <row r="511" spans="2:8" ht="15.75">
      <c r="B511" s="490" t="s">
        <v>841</v>
      </c>
      <c r="C511" s="491"/>
      <c r="D511" s="300"/>
      <c r="E511" s="40"/>
      <c r="F511" s="40"/>
      <c r="G511" s="18">
        <v>165416</v>
      </c>
      <c r="H511" s="11"/>
    </row>
    <row r="512" spans="2:8" ht="15.75">
      <c r="B512" s="490" t="s">
        <v>842</v>
      </c>
      <c r="C512" s="491"/>
      <c r="D512" s="300"/>
      <c r="E512" s="40"/>
      <c r="F512" s="40"/>
      <c r="G512" s="18">
        <v>214465</v>
      </c>
      <c r="H512" s="11"/>
    </row>
    <row r="513" spans="2:8" ht="15.75">
      <c r="B513" s="488" t="s">
        <v>852</v>
      </c>
      <c r="C513" s="494"/>
      <c r="D513" s="300">
        <v>45946</v>
      </c>
      <c r="E513" s="40"/>
      <c r="F513" s="40"/>
      <c r="G513" s="18">
        <v>500000</v>
      </c>
      <c r="H513" s="11"/>
    </row>
    <row r="514" spans="2:8" ht="15.75">
      <c r="B514" s="488" t="s">
        <v>875</v>
      </c>
      <c r="C514" s="494"/>
      <c r="D514" s="300">
        <v>45947</v>
      </c>
      <c r="E514" s="40"/>
      <c r="F514" s="40"/>
      <c r="G514" s="18">
        <v>700000</v>
      </c>
      <c r="H514" s="11"/>
    </row>
    <row r="515" spans="2:8" ht="15.75">
      <c r="B515" s="488" t="s">
        <v>479</v>
      </c>
      <c r="C515" s="489"/>
      <c r="D515" s="300">
        <v>45948</v>
      </c>
      <c r="E515" s="40"/>
      <c r="F515" s="40"/>
      <c r="G515" s="18">
        <v>700000</v>
      </c>
      <c r="H515" s="11"/>
    </row>
    <row r="516" spans="2:8" ht="15.75">
      <c r="B516" s="488" t="s">
        <v>911</v>
      </c>
      <c r="C516" s="494"/>
      <c r="D516" s="300">
        <v>45950</v>
      </c>
      <c r="E516" s="40"/>
      <c r="F516" s="40"/>
      <c r="G516" s="18">
        <v>1000000</v>
      </c>
      <c r="H516" s="11"/>
    </row>
    <row r="517" spans="2:8" ht="15.75">
      <c r="B517" s="488" t="s">
        <v>934</v>
      </c>
      <c r="C517" s="494"/>
      <c r="D517" s="300">
        <v>45951</v>
      </c>
      <c r="E517" s="40"/>
      <c r="F517" s="40"/>
      <c r="G517" s="18">
        <v>800000</v>
      </c>
      <c r="H517" s="11"/>
    </row>
    <row r="518" spans="2:8" ht="15.75">
      <c r="B518" s="488" t="s">
        <v>950</v>
      </c>
      <c r="C518" s="494"/>
      <c r="D518" s="300">
        <v>45952</v>
      </c>
      <c r="E518" s="40"/>
      <c r="F518" s="40"/>
      <c r="G518" s="18">
        <v>800000</v>
      </c>
      <c r="H518" s="11"/>
    </row>
    <row r="519" spans="2:8" ht="15.75">
      <c r="B519" s="488" t="s">
        <v>964</v>
      </c>
      <c r="C519" s="494"/>
      <c r="D519" s="300">
        <v>45953</v>
      </c>
      <c r="E519" s="40"/>
      <c r="F519" s="40"/>
      <c r="G519" s="18">
        <v>440000</v>
      </c>
      <c r="H519" s="11"/>
    </row>
    <row r="520" spans="2:8" ht="15.75">
      <c r="B520" s="488" t="s">
        <v>986</v>
      </c>
      <c r="C520" s="489"/>
      <c r="D520" s="300">
        <v>45953</v>
      </c>
      <c r="E520" s="40"/>
      <c r="F520" s="40"/>
      <c r="G520" s="18">
        <v>458796</v>
      </c>
      <c r="H520" s="11"/>
    </row>
    <row r="521" spans="2:8" ht="15.75">
      <c r="B521" s="488" t="s">
        <v>993</v>
      </c>
      <c r="C521" s="494"/>
      <c r="D521" s="300">
        <v>45954</v>
      </c>
      <c r="E521" s="40"/>
      <c r="F521" s="40"/>
      <c r="G521" s="18">
        <v>900000</v>
      </c>
      <c r="H521" s="11"/>
    </row>
    <row r="522" spans="2:8" ht="15.75">
      <c r="B522" s="488" t="s">
        <v>479</v>
      </c>
      <c r="C522" s="489"/>
      <c r="D522" s="300">
        <v>45955</v>
      </c>
      <c r="E522" s="40"/>
      <c r="F522" s="40"/>
      <c r="G522" s="18">
        <v>400000</v>
      </c>
      <c r="H522" s="11"/>
    </row>
    <row r="523" spans="2:8" ht="15.75">
      <c r="B523" s="488" t="s">
        <v>1019</v>
      </c>
      <c r="C523" s="494"/>
      <c r="D523" s="300">
        <v>45957</v>
      </c>
      <c r="E523" s="40"/>
      <c r="F523" s="40"/>
      <c r="G523" s="18">
        <v>970000</v>
      </c>
      <c r="H523" s="11"/>
    </row>
    <row r="524" spans="2:8" ht="15.75">
      <c r="B524" s="488" t="s">
        <v>1034</v>
      </c>
      <c r="C524" s="494"/>
      <c r="D524" s="300">
        <v>45958</v>
      </c>
      <c r="E524" s="40"/>
      <c r="F524" s="40"/>
      <c r="G524" s="18">
        <v>725000</v>
      </c>
      <c r="H524" s="11"/>
    </row>
    <row r="525" spans="2:8" ht="15.75">
      <c r="B525" s="488" t="s">
        <v>1066</v>
      </c>
      <c r="C525" s="494"/>
      <c r="D525" s="300">
        <v>45959</v>
      </c>
      <c r="E525" s="40"/>
      <c r="F525" s="40"/>
      <c r="G525" s="18">
        <v>1050000</v>
      </c>
      <c r="H525" s="11"/>
    </row>
    <row r="526" spans="2:8" ht="15.75">
      <c r="B526" s="488" t="s">
        <v>1087</v>
      </c>
      <c r="C526" s="494"/>
      <c r="D526" s="300">
        <v>45960</v>
      </c>
      <c r="E526" s="40"/>
      <c r="F526" s="40"/>
      <c r="G526" s="18">
        <v>700000</v>
      </c>
      <c r="H526" s="11"/>
    </row>
    <row r="527" spans="2:8" ht="15.75">
      <c r="B527" s="488" t="s">
        <v>1088</v>
      </c>
      <c r="C527" s="494"/>
      <c r="D527" s="300">
        <v>45960</v>
      </c>
      <c r="E527" s="40"/>
      <c r="F527" s="40"/>
      <c r="G527" s="18">
        <v>50000</v>
      </c>
      <c r="H527" s="11"/>
    </row>
    <row r="528" spans="2:8" ht="15.75">
      <c r="B528" s="488" t="s">
        <v>1089</v>
      </c>
      <c r="C528" s="489"/>
      <c r="D528" s="300">
        <v>45960</v>
      </c>
      <c r="E528" s="40"/>
      <c r="F528" s="40"/>
      <c r="G528" s="18">
        <v>105372</v>
      </c>
      <c r="H528" s="11"/>
    </row>
    <row r="529" spans="2:8" ht="15.75">
      <c r="B529" s="394" t="s">
        <v>1096</v>
      </c>
      <c r="C529" s="395"/>
      <c r="D529" s="300">
        <v>45960</v>
      </c>
      <c r="E529" s="40"/>
      <c r="F529" s="40"/>
      <c r="G529" s="18">
        <v>205256</v>
      </c>
      <c r="H529" s="11"/>
    </row>
    <row r="530" spans="2:8" ht="15.75">
      <c r="B530" s="394" t="s">
        <v>1097</v>
      </c>
      <c r="C530" s="395"/>
      <c r="D530" s="300">
        <v>45960</v>
      </c>
      <c r="E530" s="40"/>
      <c r="F530" s="40"/>
      <c r="G530" s="18">
        <v>232801</v>
      </c>
      <c r="H530" s="11"/>
    </row>
    <row r="531" spans="2:8" ht="15.75">
      <c r="B531" s="490"/>
      <c r="C531" s="491"/>
      <c r="D531" s="247"/>
      <c r="E531" s="40"/>
      <c r="F531" s="40"/>
      <c r="G531" s="18"/>
      <c r="H531" s="11"/>
    </row>
    <row r="532" spans="2:8" ht="15.75">
      <c r="B532" s="484"/>
      <c r="C532" s="485"/>
      <c r="D532" s="40"/>
      <c r="E532" s="40"/>
      <c r="F532" s="40"/>
      <c r="G532" s="18"/>
      <c r="H532" s="11"/>
    </row>
    <row r="533" spans="2:8" ht="15.75">
      <c r="B533" s="486"/>
      <c r="C533" s="487"/>
      <c r="D533" s="11"/>
      <c r="E533" s="11"/>
      <c r="F533" s="11"/>
      <c r="G533" s="75"/>
      <c r="H533" s="11"/>
    </row>
    <row r="534" spans="2:8">
      <c r="B534" s="10"/>
      <c r="C534" s="11"/>
      <c r="D534" s="11"/>
      <c r="E534" s="11"/>
      <c r="F534" s="11"/>
      <c r="G534" s="11"/>
      <c r="H534" s="11"/>
    </row>
    <row r="535" spans="2:8">
      <c r="B535" s="10"/>
      <c r="C535" s="11"/>
      <c r="D535" s="11"/>
      <c r="E535" s="11"/>
      <c r="F535" s="11"/>
      <c r="G535" s="12">
        <f>SUM(G498:G534)</f>
        <v>20354690</v>
      </c>
      <c r="H535" s="11"/>
    </row>
    <row r="536" spans="2:8">
      <c r="B536" s="10"/>
      <c r="C536" s="27" t="s">
        <v>259</v>
      </c>
      <c r="D536" s="11"/>
      <c r="E536" s="11"/>
      <c r="F536" s="11"/>
      <c r="G536" s="26">
        <f>G535-G494</f>
        <v>495870</v>
      </c>
      <c r="H536" s="11"/>
    </row>
    <row r="538" spans="2:8">
      <c r="G538" s="215"/>
    </row>
    <row r="540" spans="2:8">
      <c r="G540" s="215"/>
    </row>
    <row r="541" spans="2:8">
      <c r="G541" s="215"/>
    </row>
    <row r="560" spans="2:8">
      <c r="B560" s="504" t="s">
        <v>1090</v>
      </c>
      <c r="C560" s="505"/>
      <c r="D560" s="505"/>
      <c r="E560" s="505"/>
      <c r="F560" s="505"/>
      <c r="G560" s="505"/>
      <c r="H560" s="506"/>
    </row>
    <row r="561" spans="2:10">
      <c r="B561" s="507"/>
      <c r="C561" s="508"/>
      <c r="D561" s="508"/>
      <c r="E561" s="508"/>
      <c r="F561" s="508"/>
      <c r="G561" s="508"/>
      <c r="H561" s="509"/>
    </row>
    <row r="562" spans="2:10" ht="15.75">
      <c r="B562" s="2" t="s">
        <v>18</v>
      </c>
      <c r="C562" s="3" t="s">
        <v>0</v>
      </c>
      <c r="D562" s="492" t="s">
        <v>1</v>
      </c>
      <c r="E562" s="493"/>
      <c r="F562" s="396" t="s">
        <v>5</v>
      </c>
      <c r="G562" s="3" t="s">
        <v>2</v>
      </c>
      <c r="H562" s="3" t="s">
        <v>6</v>
      </c>
    </row>
    <row r="563" spans="2:10" ht="15.75">
      <c r="B563" s="5"/>
      <c r="C563" s="6"/>
      <c r="D563" s="482"/>
      <c r="E563" s="483"/>
      <c r="F563" s="393"/>
      <c r="G563" s="13"/>
      <c r="H563" s="8"/>
    </row>
    <row r="564" spans="2:10" ht="15.75">
      <c r="B564" s="5" t="s">
        <v>184</v>
      </c>
      <c r="C564" s="187">
        <v>45962</v>
      </c>
      <c r="D564" s="482">
        <v>81266769</v>
      </c>
      <c r="E564" s="483"/>
      <c r="F564" s="393">
        <v>22</v>
      </c>
      <c r="G564" s="13">
        <v>96982</v>
      </c>
      <c r="H564" s="8"/>
    </row>
    <row r="565" spans="2:10" ht="15.75">
      <c r="B565" s="5" t="s">
        <v>185</v>
      </c>
      <c r="C565" s="187">
        <v>45962</v>
      </c>
      <c r="D565" s="482">
        <v>81266704</v>
      </c>
      <c r="E565" s="483"/>
      <c r="F565" s="393">
        <v>49</v>
      </c>
      <c r="G565" s="13">
        <v>194228</v>
      </c>
      <c r="H565" s="8"/>
    </row>
    <row r="566" spans="2:10" ht="15.75">
      <c r="B566" s="5" t="s">
        <v>3</v>
      </c>
      <c r="C566" s="187">
        <v>45965</v>
      </c>
      <c r="D566" s="482">
        <v>81267794</v>
      </c>
      <c r="E566" s="483"/>
      <c r="F566" s="393">
        <v>33</v>
      </c>
      <c r="G566" s="13">
        <v>152711</v>
      </c>
      <c r="H566" s="8"/>
    </row>
    <row r="567" spans="2:10" ht="15.75">
      <c r="B567" s="5" t="s">
        <v>4</v>
      </c>
      <c r="C567" s="187">
        <v>45965</v>
      </c>
      <c r="D567" s="510">
        <v>81267732</v>
      </c>
      <c r="E567" s="511"/>
      <c r="F567" s="411">
        <v>76</v>
      </c>
      <c r="G567" s="412">
        <v>270782</v>
      </c>
      <c r="H567" s="8"/>
      <c r="J567" s="38"/>
    </row>
    <row r="568" spans="2:10" ht="15.75">
      <c r="B568" s="5" t="s">
        <v>10</v>
      </c>
      <c r="C568" s="187">
        <v>45966</v>
      </c>
      <c r="D568" s="482">
        <v>81268728</v>
      </c>
      <c r="E568" s="483"/>
      <c r="F568" s="393">
        <v>30</v>
      </c>
      <c r="G568" s="13">
        <v>123812</v>
      </c>
      <c r="H568" s="8"/>
    </row>
    <row r="569" spans="2:10" ht="15.75">
      <c r="B569" s="5" t="s">
        <v>11</v>
      </c>
      <c r="C569" s="187">
        <v>45966</v>
      </c>
      <c r="D569" s="482">
        <v>81268714</v>
      </c>
      <c r="E569" s="483"/>
      <c r="F569" s="393">
        <v>107</v>
      </c>
      <c r="G569" s="13">
        <v>498212</v>
      </c>
      <c r="H569" s="8"/>
    </row>
    <row r="570" spans="2:10" ht="15.75">
      <c r="B570" s="5" t="s">
        <v>12</v>
      </c>
      <c r="C570" s="187">
        <v>45966</v>
      </c>
      <c r="D570" s="482">
        <v>81268824</v>
      </c>
      <c r="E570" s="483"/>
      <c r="F570" s="393">
        <v>50</v>
      </c>
      <c r="G570" s="13">
        <v>183133</v>
      </c>
      <c r="H570" s="8"/>
    </row>
    <row r="571" spans="2:10" ht="15.75">
      <c r="B571" s="5" t="s">
        <v>13</v>
      </c>
      <c r="C571" s="187">
        <v>45966</v>
      </c>
      <c r="D571" s="482">
        <v>81269052</v>
      </c>
      <c r="E571" s="483"/>
      <c r="F571" s="393">
        <v>53</v>
      </c>
      <c r="G571" s="13">
        <v>210401</v>
      </c>
      <c r="H571" s="8"/>
    </row>
    <row r="572" spans="2:10" ht="15.75">
      <c r="B572" s="5" t="s">
        <v>14</v>
      </c>
      <c r="C572" s="187">
        <v>45967</v>
      </c>
      <c r="D572" s="482">
        <v>81269476</v>
      </c>
      <c r="E572" s="483"/>
      <c r="F572" s="393">
        <v>45</v>
      </c>
      <c r="G572" s="13">
        <v>179647</v>
      </c>
      <c r="H572" s="8"/>
    </row>
    <row r="573" spans="2:10" ht="15.75">
      <c r="B573" s="5" t="s">
        <v>15</v>
      </c>
      <c r="C573" s="187">
        <v>45967</v>
      </c>
      <c r="D573" s="482">
        <v>81269559</v>
      </c>
      <c r="E573" s="483"/>
      <c r="F573" s="393">
        <v>10</v>
      </c>
      <c r="G573" s="13">
        <v>38178</v>
      </c>
      <c r="H573" s="8"/>
    </row>
    <row r="574" spans="2:10" ht="15.75">
      <c r="B574" s="5" t="s">
        <v>16</v>
      </c>
      <c r="C574" s="187">
        <v>45967</v>
      </c>
      <c r="D574" s="482">
        <v>81269458</v>
      </c>
      <c r="E574" s="483"/>
      <c r="F574" s="410">
        <v>23</v>
      </c>
      <c r="G574" s="13">
        <v>77729</v>
      </c>
      <c r="H574" s="8"/>
    </row>
    <row r="575" spans="2:10" ht="15.75">
      <c r="B575" s="5" t="s">
        <v>17</v>
      </c>
      <c r="C575" s="187">
        <v>45967</v>
      </c>
      <c r="D575" s="482">
        <v>81269482</v>
      </c>
      <c r="E575" s="483"/>
      <c r="F575" s="410">
        <v>115</v>
      </c>
      <c r="G575" s="13">
        <v>412508</v>
      </c>
      <c r="H575" s="8"/>
    </row>
    <row r="576" spans="2:10" ht="15.75">
      <c r="B576" s="5" t="s">
        <v>44</v>
      </c>
      <c r="C576" s="141">
        <v>45968</v>
      </c>
      <c r="D576" s="482">
        <v>81270105</v>
      </c>
      <c r="E576" s="483"/>
      <c r="F576" s="410">
        <v>138</v>
      </c>
      <c r="G576" s="13">
        <v>581205</v>
      </c>
      <c r="H576" s="8"/>
    </row>
    <row r="577" spans="2:8" ht="15.75">
      <c r="B577" s="5" t="s">
        <v>45</v>
      </c>
      <c r="C577" s="141">
        <v>45968</v>
      </c>
      <c r="D577" s="482">
        <v>81270268</v>
      </c>
      <c r="E577" s="483"/>
      <c r="F577" s="410">
        <v>72</v>
      </c>
      <c r="G577" s="13">
        <v>341308</v>
      </c>
      <c r="H577" s="8"/>
    </row>
    <row r="578" spans="2:8" ht="15.75">
      <c r="B578" s="5" t="s">
        <v>50</v>
      </c>
      <c r="C578" s="141">
        <v>45968</v>
      </c>
      <c r="D578" s="482">
        <v>81270235</v>
      </c>
      <c r="E578" s="483"/>
      <c r="F578" s="410">
        <v>41</v>
      </c>
      <c r="G578" s="13">
        <v>149656</v>
      </c>
      <c r="H578" s="8"/>
    </row>
    <row r="579" spans="2:8" ht="15.75">
      <c r="B579" s="5" t="s">
        <v>52</v>
      </c>
      <c r="C579" s="141">
        <v>45968</v>
      </c>
      <c r="D579" s="482">
        <v>81270148</v>
      </c>
      <c r="E579" s="483"/>
      <c r="F579" s="410">
        <v>10</v>
      </c>
      <c r="G579" s="13">
        <v>38178</v>
      </c>
      <c r="H579" s="8"/>
    </row>
    <row r="580" spans="2:8" ht="15.75">
      <c r="B580" s="5" t="s">
        <v>54</v>
      </c>
      <c r="C580" s="141">
        <v>45969</v>
      </c>
      <c r="D580" s="482">
        <v>81270867</v>
      </c>
      <c r="E580" s="483"/>
      <c r="F580" s="414">
        <v>26</v>
      </c>
      <c r="G580" s="13">
        <v>159200</v>
      </c>
      <c r="H580" s="8"/>
    </row>
    <row r="581" spans="2:8" ht="15.75">
      <c r="B581" s="5" t="s">
        <v>55</v>
      </c>
      <c r="C581" s="141">
        <v>45969</v>
      </c>
      <c r="D581" s="482">
        <v>81270875</v>
      </c>
      <c r="E581" s="483"/>
      <c r="F581" s="414">
        <v>135</v>
      </c>
      <c r="G581" s="13">
        <v>499880</v>
      </c>
      <c r="H581" s="8"/>
    </row>
    <row r="582" spans="2:8" ht="15.75">
      <c r="B582" s="5" t="s">
        <v>58</v>
      </c>
      <c r="C582" s="141">
        <v>45972</v>
      </c>
      <c r="D582" s="482">
        <v>81272776</v>
      </c>
      <c r="E582" s="483"/>
      <c r="F582" s="414">
        <v>15</v>
      </c>
      <c r="G582" s="13">
        <v>53067</v>
      </c>
      <c r="H582" s="8"/>
    </row>
    <row r="583" spans="2:8" ht="15.75">
      <c r="B583" s="5" t="s">
        <v>59</v>
      </c>
      <c r="C583" s="141">
        <v>45972</v>
      </c>
      <c r="D583" s="482">
        <v>81272821</v>
      </c>
      <c r="E583" s="483"/>
      <c r="F583" s="414">
        <v>35</v>
      </c>
      <c r="G583" s="13">
        <v>116627</v>
      </c>
      <c r="H583" s="8"/>
    </row>
    <row r="584" spans="2:8" ht="15.75">
      <c r="B584" s="5" t="s">
        <v>68</v>
      </c>
      <c r="C584" s="141">
        <v>45972</v>
      </c>
      <c r="D584" s="482">
        <v>81272800</v>
      </c>
      <c r="E584" s="483"/>
      <c r="F584" s="414">
        <v>97</v>
      </c>
      <c r="G584" s="13">
        <v>334439</v>
      </c>
      <c r="H584" s="8"/>
    </row>
    <row r="585" spans="2:8" ht="15.75">
      <c r="B585" s="5" t="s">
        <v>69</v>
      </c>
      <c r="C585" s="141">
        <v>45972</v>
      </c>
      <c r="D585" s="482">
        <v>81272993</v>
      </c>
      <c r="E585" s="483"/>
      <c r="F585" s="414">
        <v>115</v>
      </c>
      <c r="G585" s="13">
        <v>538304</v>
      </c>
      <c r="H585" s="8"/>
    </row>
    <row r="586" spans="2:8" ht="15.75">
      <c r="B586" s="5" t="s">
        <v>70</v>
      </c>
      <c r="C586" s="141">
        <v>45972</v>
      </c>
      <c r="D586" s="482">
        <v>81272994</v>
      </c>
      <c r="E586" s="483"/>
      <c r="F586" s="431">
        <v>25</v>
      </c>
      <c r="G586" s="13">
        <v>0</v>
      </c>
      <c r="H586" s="432" t="s">
        <v>1286</v>
      </c>
    </row>
    <row r="587" spans="2:8" ht="15.75">
      <c r="B587" s="5" t="s">
        <v>71</v>
      </c>
      <c r="C587" s="141">
        <v>45973</v>
      </c>
      <c r="D587" s="482">
        <v>81273904</v>
      </c>
      <c r="E587" s="483"/>
      <c r="F587" s="431">
        <v>42</v>
      </c>
      <c r="G587" s="13">
        <v>213031</v>
      </c>
      <c r="H587" s="8"/>
    </row>
    <row r="588" spans="2:8" ht="15.75">
      <c r="B588" s="5" t="s">
        <v>100</v>
      </c>
      <c r="C588" s="141">
        <v>45973</v>
      </c>
      <c r="D588" s="482">
        <v>81273879</v>
      </c>
      <c r="E588" s="483"/>
      <c r="F588" s="431">
        <v>20</v>
      </c>
      <c r="G588" s="13">
        <v>74255</v>
      </c>
      <c r="H588" s="8"/>
    </row>
    <row r="589" spans="2:8" ht="15.75">
      <c r="B589" s="5" t="s">
        <v>101</v>
      </c>
      <c r="C589" s="141">
        <v>45974</v>
      </c>
      <c r="D589" s="482">
        <v>81274215</v>
      </c>
      <c r="E589" s="483"/>
      <c r="F589" s="431">
        <v>72</v>
      </c>
      <c r="G589" s="13">
        <v>249637</v>
      </c>
      <c r="H589" s="8"/>
    </row>
    <row r="590" spans="2:8" ht="15.75">
      <c r="B590" s="5" t="s">
        <v>102</v>
      </c>
      <c r="C590" s="141">
        <v>45974</v>
      </c>
      <c r="D590" s="482">
        <v>81274325</v>
      </c>
      <c r="E590" s="483"/>
      <c r="F590" s="431">
        <v>30</v>
      </c>
      <c r="G590" s="13">
        <v>82082</v>
      </c>
      <c r="H590" s="8"/>
    </row>
    <row r="591" spans="2:8" ht="15.75">
      <c r="B591" s="5" t="s">
        <v>106</v>
      </c>
      <c r="C591" s="141">
        <v>45974</v>
      </c>
      <c r="D591" s="482">
        <v>81274612</v>
      </c>
      <c r="E591" s="483"/>
      <c r="F591" s="431">
        <v>10</v>
      </c>
      <c r="G591" s="13">
        <v>38178</v>
      </c>
      <c r="H591" s="8"/>
    </row>
    <row r="592" spans="2:8" ht="15.75">
      <c r="B592" s="5" t="s">
        <v>114</v>
      </c>
      <c r="C592" s="141">
        <v>45974</v>
      </c>
      <c r="D592" s="482">
        <v>81274680</v>
      </c>
      <c r="E592" s="483"/>
      <c r="F592" s="433">
        <v>42</v>
      </c>
      <c r="G592" s="13">
        <v>177870</v>
      </c>
      <c r="H592" s="8"/>
    </row>
    <row r="593" spans="2:8" ht="15.75">
      <c r="B593" s="5" t="s">
        <v>115</v>
      </c>
      <c r="C593" s="141">
        <v>45974</v>
      </c>
      <c r="D593" s="482">
        <v>81274676</v>
      </c>
      <c r="E593" s="483"/>
      <c r="F593" s="433">
        <v>90</v>
      </c>
      <c r="G593" s="13">
        <v>320803</v>
      </c>
      <c r="H593" s="8"/>
    </row>
    <row r="594" spans="2:8" ht="15.75">
      <c r="B594" s="5" t="s">
        <v>117</v>
      </c>
      <c r="C594" s="141">
        <v>45974</v>
      </c>
      <c r="D594" s="482">
        <v>81274966</v>
      </c>
      <c r="E594" s="483"/>
      <c r="F594" s="433">
        <v>30</v>
      </c>
      <c r="G594" s="13">
        <v>94444</v>
      </c>
      <c r="H594" s="8"/>
    </row>
    <row r="595" spans="2:8" ht="15.75">
      <c r="B595" s="5" t="s">
        <v>118</v>
      </c>
      <c r="C595" s="141">
        <v>45975</v>
      </c>
      <c r="D595" s="482">
        <v>81275265</v>
      </c>
      <c r="E595" s="483"/>
      <c r="F595" s="433">
        <v>5</v>
      </c>
      <c r="G595" s="13">
        <v>19089</v>
      </c>
      <c r="H595" s="8"/>
    </row>
    <row r="596" spans="2:8" ht="15.75">
      <c r="B596" s="5" t="s">
        <v>120</v>
      </c>
      <c r="C596" s="141">
        <v>45975</v>
      </c>
      <c r="D596" s="482">
        <v>81275300</v>
      </c>
      <c r="E596" s="483"/>
      <c r="F596" s="433">
        <v>59</v>
      </c>
      <c r="G596" s="13">
        <v>200393</v>
      </c>
      <c r="H596" s="8"/>
    </row>
    <row r="597" spans="2:8" ht="15.75">
      <c r="B597" s="5" t="s">
        <v>121</v>
      </c>
      <c r="C597" s="141">
        <v>45975</v>
      </c>
      <c r="D597" s="482">
        <v>81275251</v>
      </c>
      <c r="E597" s="483"/>
      <c r="F597" s="434">
        <v>87</v>
      </c>
      <c r="G597" s="13">
        <v>309530</v>
      </c>
      <c r="H597" s="8"/>
    </row>
    <row r="598" spans="2:8" ht="15.75">
      <c r="B598" s="5" t="s">
        <v>124</v>
      </c>
      <c r="C598" s="141">
        <v>45975</v>
      </c>
      <c r="D598" s="482">
        <v>81275473</v>
      </c>
      <c r="E598" s="483"/>
      <c r="F598" s="434">
        <v>25</v>
      </c>
      <c r="G598" s="13">
        <v>137440</v>
      </c>
      <c r="H598" s="8"/>
    </row>
    <row r="599" spans="2:8" ht="15.75">
      <c r="B599" s="5" t="s">
        <v>125</v>
      </c>
      <c r="C599" s="141">
        <v>45976</v>
      </c>
      <c r="D599" s="482">
        <v>81276016</v>
      </c>
      <c r="E599" s="483"/>
      <c r="F599" s="434">
        <v>66</v>
      </c>
      <c r="G599" s="13">
        <v>313438</v>
      </c>
      <c r="H599" s="8"/>
    </row>
    <row r="600" spans="2:8" ht="15.75">
      <c r="B600" s="5" t="s">
        <v>144</v>
      </c>
      <c r="C600" s="141">
        <v>45976</v>
      </c>
      <c r="D600" s="482">
        <v>81276051</v>
      </c>
      <c r="E600" s="483"/>
      <c r="F600" s="434">
        <v>279</v>
      </c>
      <c r="G600" s="13">
        <v>1041165</v>
      </c>
      <c r="H600" s="8"/>
    </row>
    <row r="601" spans="2:8" ht="15.75">
      <c r="B601" s="5" t="s">
        <v>145</v>
      </c>
      <c r="C601" s="141">
        <v>45979</v>
      </c>
      <c r="D601" s="482">
        <v>81277658</v>
      </c>
      <c r="E601" s="483"/>
      <c r="F601" s="434">
        <v>117</v>
      </c>
      <c r="G601" s="13">
        <v>432963</v>
      </c>
      <c r="H601" s="8"/>
    </row>
    <row r="602" spans="2:8" ht="15.75">
      <c r="B602" s="5" t="s">
        <v>150</v>
      </c>
      <c r="C602" s="141">
        <v>45979</v>
      </c>
      <c r="D602" s="482">
        <v>81277619</v>
      </c>
      <c r="E602" s="483"/>
      <c r="F602" s="434">
        <v>55</v>
      </c>
      <c r="G602" s="13">
        <v>244146</v>
      </c>
      <c r="H602" s="8"/>
    </row>
    <row r="603" spans="2:8" ht="15.75">
      <c r="B603" s="5" t="s">
        <v>151</v>
      </c>
      <c r="C603" s="141">
        <v>45980</v>
      </c>
      <c r="D603" s="482">
        <v>81278422</v>
      </c>
      <c r="E603" s="483"/>
      <c r="F603" s="434">
        <v>180</v>
      </c>
      <c r="G603" s="13">
        <v>650276</v>
      </c>
      <c r="H603" s="8"/>
    </row>
    <row r="604" spans="2:8" ht="15.75">
      <c r="B604" s="5" t="s">
        <v>152</v>
      </c>
      <c r="C604" s="141">
        <v>45980</v>
      </c>
      <c r="D604" s="482">
        <v>81278408</v>
      </c>
      <c r="E604" s="483"/>
      <c r="F604" s="434">
        <v>75</v>
      </c>
      <c r="G604" s="13">
        <v>326631</v>
      </c>
      <c r="H604" s="8"/>
    </row>
    <row r="605" spans="2:8" ht="15.75">
      <c r="B605" s="5" t="s">
        <v>153</v>
      </c>
      <c r="C605" s="187">
        <v>45981</v>
      </c>
      <c r="D605" s="482">
        <v>81279227</v>
      </c>
      <c r="E605" s="483"/>
      <c r="F605" s="433">
        <v>50</v>
      </c>
      <c r="G605" s="13">
        <v>489627</v>
      </c>
      <c r="H605" s="8"/>
    </row>
    <row r="606" spans="2:8" ht="15.75">
      <c r="B606" s="5" t="s">
        <v>160</v>
      </c>
      <c r="C606" s="187">
        <v>45982</v>
      </c>
      <c r="D606" s="482">
        <v>81279920</v>
      </c>
      <c r="E606" s="483"/>
      <c r="F606" s="433">
        <v>63</v>
      </c>
      <c r="G606" s="13">
        <v>211938</v>
      </c>
      <c r="H606" s="8"/>
    </row>
    <row r="607" spans="2:8" ht="15.75">
      <c r="B607" s="5" t="s">
        <v>161</v>
      </c>
      <c r="C607" s="187">
        <v>45982</v>
      </c>
      <c r="D607" s="482">
        <v>81279922</v>
      </c>
      <c r="E607" s="483"/>
      <c r="F607" s="431">
        <v>42</v>
      </c>
      <c r="G607" s="13">
        <v>173708</v>
      </c>
      <c r="H607" s="8"/>
    </row>
    <row r="608" spans="2:8" ht="15.75">
      <c r="B608" s="5" t="s">
        <v>162</v>
      </c>
      <c r="C608" s="187">
        <v>45982</v>
      </c>
      <c r="D608" s="482">
        <v>81279610</v>
      </c>
      <c r="E608" s="483"/>
      <c r="F608" s="460">
        <v>137</v>
      </c>
      <c r="G608" s="13">
        <v>512760</v>
      </c>
      <c r="H608" s="8"/>
    </row>
    <row r="609" spans="2:8" ht="15.75">
      <c r="B609" s="5" t="s">
        <v>163</v>
      </c>
      <c r="C609" s="187">
        <v>45982</v>
      </c>
      <c r="D609" s="482">
        <v>81279724</v>
      </c>
      <c r="E609" s="483"/>
      <c r="F609" s="460">
        <v>31</v>
      </c>
      <c r="G609" s="13">
        <v>136188</v>
      </c>
      <c r="H609" s="8"/>
    </row>
    <row r="610" spans="2:8" ht="15.75">
      <c r="B610" s="5" t="s">
        <v>175</v>
      </c>
      <c r="C610" s="187">
        <v>45983</v>
      </c>
      <c r="D610" s="482">
        <v>81280639</v>
      </c>
      <c r="E610" s="483"/>
      <c r="F610" s="460">
        <v>57</v>
      </c>
      <c r="G610" s="13">
        <v>263075</v>
      </c>
      <c r="H610" s="8"/>
    </row>
    <row r="611" spans="2:8" ht="15.75">
      <c r="B611" s="5" t="s">
        <v>300</v>
      </c>
      <c r="C611" s="187">
        <v>45983</v>
      </c>
      <c r="D611" s="482">
        <v>81280482</v>
      </c>
      <c r="E611" s="483"/>
      <c r="F611" s="460">
        <v>257</v>
      </c>
      <c r="G611" s="13">
        <v>1019121</v>
      </c>
      <c r="H611" s="8"/>
    </row>
    <row r="612" spans="2:8" ht="15.75">
      <c r="B612" s="5" t="s">
        <v>301</v>
      </c>
      <c r="C612" s="187">
        <v>45985</v>
      </c>
      <c r="D612" s="482">
        <v>81281675</v>
      </c>
      <c r="E612" s="483"/>
      <c r="F612" s="460">
        <v>106</v>
      </c>
      <c r="G612" s="13">
        <v>409582</v>
      </c>
      <c r="H612" s="8"/>
    </row>
    <row r="613" spans="2:8" ht="15.75">
      <c r="B613" s="5" t="s">
        <v>302</v>
      </c>
      <c r="C613" s="187">
        <v>45985</v>
      </c>
      <c r="D613" s="482">
        <v>81281493</v>
      </c>
      <c r="E613" s="483"/>
      <c r="F613" s="460">
        <v>253</v>
      </c>
      <c r="G613" s="13">
        <v>967534</v>
      </c>
      <c r="H613" s="8"/>
    </row>
    <row r="614" spans="2:8" ht="15.75">
      <c r="B614" s="5" t="s">
        <v>320</v>
      </c>
      <c r="C614" s="187">
        <v>45987</v>
      </c>
      <c r="D614" s="482">
        <v>81282820</v>
      </c>
      <c r="E614" s="483"/>
      <c r="F614" s="460">
        <v>55</v>
      </c>
      <c r="G614" s="13">
        <v>250276</v>
      </c>
      <c r="H614" s="8"/>
    </row>
    <row r="615" spans="2:8" ht="15.75">
      <c r="B615" s="5" t="s">
        <v>321</v>
      </c>
      <c r="C615" s="187">
        <v>45987</v>
      </c>
      <c r="D615" s="482">
        <v>81282881</v>
      </c>
      <c r="E615" s="483"/>
      <c r="F615" s="461">
        <v>138</v>
      </c>
      <c r="G615" s="13">
        <v>465087</v>
      </c>
      <c r="H615" s="8"/>
    </row>
    <row r="616" spans="2:8" ht="15.75">
      <c r="B616" s="5" t="s">
        <v>322</v>
      </c>
      <c r="C616" s="187">
        <v>45988</v>
      </c>
      <c r="D616" s="482">
        <v>81283725</v>
      </c>
      <c r="E616" s="483"/>
      <c r="F616" s="461">
        <v>138</v>
      </c>
      <c r="G616" s="13">
        <v>613122</v>
      </c>
      <c r="H616" s="8"/>
    </row>
    <row r="617" spans="2:8" ht="15.75">
      <c r="B617" s="5" t="s">
        <v>323</v>
      </c>
      <c r="C617" s="187">
        <v>45988</v>
      </c>
      <c r="D617" s="482">
        <v>81283604</v>
      </c>
      <c r="E617" s="483"/>
      <c r="F617" s="461">
        <v>312</v>
      </c>
      <c r="G617" s="13">
        <v>1136791</v>
      </c>
      <c r="H617" s="8"/>
    </row>
    <row r="618" spans="2:8" ht="15.75">
      <c r="B618" s="5" t="s">
        <v>357</v>
      </c>
      <c r="C618" s="187">
        <v>45989</v>
      </c>
      <c r="D618" s="482">
        <v>81284288</v>
      </c>
      <c r="E618" s="483"/>
      <c r="F618" s="461">
        <v>217</v>
      </c>
      <c r="G618" s="13">
        <v>737706</v>
      </c>
      <c r="H618" s="8"/>
    </row>
    <row r="619" spans="2:8" ht="15.75">
      <c r="B619" s="5" t="s">
        <v>358</v>
      </c>
      <c r="C619" s="187">
        <v>45989</v>
      </c>
      <c r="D619" s="482">
        <v>81284261</v>
      </c>
      <c r="E619" s="483"/>
      <c r="F619" s="475">
        <v>125</v>
      </c>
      <c r="G619" s="13">
        <v>507974</v>
      </c>
      <c r="H619" s="8"/>
    </row>
    <row r="620" spans="2:8" ht="15.75">
      <c r="B620" s="5" t="s">
        <v>359</v>
      </c>
      <c r="C620" s="187"/>
      <c r="D620" s="482"/>
      <c r="E620" s="483"/>
      <c r="F620" s="475"/>
      <c r="G620" s="13"/>
      <c r="H620" s="8"/>
    </row>
    <row r="621" spans="2:8" ht="15.75">
      <c r="B621" s="5" t="s">
        <v>360</v>
      </c>
      <c r="C621" s="187"/>
      <c r="D621" s="482"/>
      <c r="E621" s="483"/>
      <c r="F621" s="475"/>
      <c r="G621" s="13"/>
      <c r="H621" s="8"/>
    </row>
    <row r="622" spans="2:8" ht="15.75">
      <c r="B622" s="5" t="s">
        <v>361</v>
      </c>
      <c r="C622" s="187"/>
      <c r="D622" s="482"/>
      <c r="E622" s="483"/>
      <c r="F622" s="475"/>
      <c r="G622" s="13"/>
      <c r="H622" s="8"/>
    </row>
    <row r="623" spans="2:8" ht="15.75">
      <c r="B623" s="5" t="s">
        <v>362</v>
      </c>
      <c r="C623" s="187"/>
      <c r="D623" s="482"/>
      <c r="E623" s="483"/>
      <c r="F623" s="475"/>
      <c r="G623" s="13"/>
      <c r="H623" s="8"/>
    </row>
    <row r="624" spans="2:8" ht="15.75">
      <c r="B624" s="5"/>
      <c r="C624" s="187"/>
      <c r="D624" s="482"/>
      <c r="E624" s="483"/>
      <c r="F624" s="461"/>
      <c r="G624" s="13"/>
      <c r="H624" s="8"/>
    </row>
    <row r="625" spans="2:14" ht="15.75">
      <c r="B625" s="5"/>
      <c r="C625" s="187"/>
      <c r="D625" s="482"/>
      <c r="E625" s="483"/>
      <c r="F625" s="460"/>
      <c r="G625" s="13"/>
      <c r="H625" s="8"/>
    </row>
    <row r="626" spans="2:14" ht="15.75">
      <c r="B626" s="5"/>
      <c r="C626" s="187"/>
      <c r="D626" s="482"/>
      <c r="E626" s="483"/>
      <c r="F626" s="460"/>
      <c r="G626" s="13"/>
      <c r="H626" s="8"/>
    </row>
    <row r="627" spans="2:14" ht="15.75">
      <c r="B627" s="5"/>
      <c r="C627" s="187"/>
      <c r="D627" s="482"/>
      <c r="E627" s="483"/>
      <c r="F627" s="460"/>
      <c r="G627" s="13"/>
      <c r="H627" s="8"/>
    </row>
    <row r="628" spans="2:14" ht="15.75">
      <c r="B628" s="5"/>
      <c r="C628" s="15"/>
      <c r="D628" s="482"/>
      <c r="E628" s="483"/>
      <c r="F628" s="460"/>
      <c r="G628" s="13"/>
      <c r="H628" s="8"/>
    </row>
    <row r="629" spans="2:14" ht="15.75">
      <c r="B629" s="5"/>
      <c r="C629" s="15"/>
      <c r="D629" s="482"/>
      <c r="E629" s="483"/>
      <c r="F629" s="460"/>
      <c r="G629" s="13"/>
      <c r="H629" s="8"/>
    </row>
    <row r="630" spans="2:14" ht="15.75">
      <c r="B630" s="5"/>
      <c r="C630" s="8"/>
      <c r="D630" s="8"/>
      <c r="E630" s="8"/>
      <c r="F630" s="166">
        <f>SUM(F563:F627)</f>
        <v>4587</v>
      </c>
      <c r="G630" s="457">
        <f>SUM(G563:G629)</f>
        <v>18070047</v>
      </c>
      <c r="H630" s="8"/>
    </row>
    <row r="631" spans="2:14" ht="15.75">
      <c r="B631" s="501" t="s">
        <v>9</v>
      </c>
      <c r="C631" s="502"/>
      <c r="D631" s="3" t="s">
        <v>0</v>
      </c>
      <c r="E631" s="8"/>
      <c r="F631" s="8"/>
      <c r="G631" s="8"/>
      <c r="H631" s="8"/>
    </row>
    <row r="632" spans="2:14" ht="15.75">
      <c r="B632" s="501"/>
      <c r="C632" s="502"/>
      <c r="D632" s="3"/>
      <c r="E632" s="75"/>
      <c r="F632" s="75"/>
      <c r="G632" s="9"/>
      <c r="H632" s="8"/>
    </row>
    <row r="633" spans="2:14">
      <c r="B633" s="503"/>
      <c r="C633" s="503"/>
      <c r="H633" s="11"/>
    </row>
    <row r="634" spans="2:14" ht="15.75">
      <c r="B634" s="476" t="s">
        <v>260</v>
      </c>
      <c r="C634" s="477"/>
      <c r="D634" s="76"/>
      <c r="E634" s="25"/>
      <c r="F634" s="25"/>
      <c r="G634" s="18">
        <v>495870</v>
      </c>
      <c r="H634" s="11"/>
    </row>
    <row r="635" spans="2:14" ht="15.75">
      <c r="B635" s="476" t="s">
        <v>1147</v>
      </c>
      <c r="C635" s="477"/>
      <c r="D635" s="300">
        <v>45964</v>
      </c>
      <c r="E635" s="40"/>
      <c r="F635" s="40"/>
      <c r="G635" s="18">
        <v>600000</v>
      </c>
      <c r="H635" s="11"/>
    </row>
    <row r="636" spans="2:14" ht="15.75">
      <c r="B636" s="476" t="s">
        <v>1156</v>
      </c>
      <c r="C636" s="477"/>
      <c r="D636" s="300">
        <v>45965</v>
      </c>
      <c r="E636" s="40"/>
      <c r="F636" s="40"/>
      <c r="G636" s="18">
        <v>570000</v>
      </c>
      <c r="H636" s="11"/>
      <c r="J636" s="351" t="s">
        <v>1193</v>
      </c>
      <c r="K636" s="351" t="s">
        <v>1194</v>
      </c>
      <c r="L636" s="351" t="s">
        <v>38</v>
      </c>
    </row>
    <row r="637" spans="2:14" ht="15.75">
      <c r="B637" s="476" t="s">
        <v>1173</v>
      </c>
      <c r="C637" s="477"/>
      <c r="D637" s="300">
        <v>45966</v>
      </c>
      <c r="E637" s="40"/>
      <c r="F637" s="40"/>
      <c r="G637" s="18">
        <v>1000000</v>
      </c>
      <c r="H637" s="11"/>
      <c r="J637" s="413">
        <v>4671</v>
      </c>
      <c r="K637" s="350">
        <f>F630</f>
        <v>4587</v>
      </c>
      <c r="L637" s="350">
        <f>J637-K637</f>
        <v>84</v>
      </c>
    </row>
    <row r="638" spans="2:14" ht="15.75">
      <c r="B638" s="476" t="s">
        <v>1184</v>
      </c>
      <c r="C638" s="477"/>
      <c r="D638" s="300">
        <v>45967</v>
      </c>
      <c r="E638" s="40"/>
      <c r="F638" s="40"/>
      <c r="G638" s="18">
        <v>750000</v>
      </c>
      <c r="H638" s="11"/>
      <c r="N638" s="38"/>
    </row>
    <row r="639" spans="2:14" ht="15.75">
      <c r="B639" s="476" t="s">
        <v>1246</v>
      </c>
      <c r="C639" s="477"/>
      <c r="D639" s="300">
        <v>45968</v>
      </c>
      <c r="E639" s="40"/>
      <c r="F639" s="40"/>
      <c r="G639" s="18">
        <v>800000</v>
      </c>
      <c r="H639" s="11"/>
    </row>
    <row r="640" spans="2:14" ht="15.75">
      <c r="B640" s="476" t="s">
        <v>1247</v>
      </c>
      <c r="C640" s="477"/>
      <c r="D640" s="300">
        <v>45971</v>
      </c>
      <c r="E640" s="40"/>
      <c r="F640" s="40"/>
      <c r="G640" s="18">
        <v>980000</v>
      </c>
      <c r="H640" s="11"/>
    </row>
    <row r="641" spans="2:15" ht="15.75">
      <c r="B641" s="476" t="s">
        <v>1280</v>
      </c>
      <c r="C641" s="477"/>
      <c r="D641" s="300">
        <v>45972</v>
      </c>
      <c r="E641" s="40"/>
      <c r="F641" s="40"/>
      <c r="G641" s="18">
        <v>700000</v>
      </c>
      <c r="H641" s="11"/>
    </row>
    <row r="642" spans="2:15" ht="15.75">
      <c r="B642" s="476" t="s">
        <v>1298</v>
      </c>
      <c r="C642" s="477"/>
      <c r="D642" s="300">
        <v>45973</v>
      </c>
      <c r="E642" s="40"/>
      <c r="F642" s="40"/>
      <c r="G642" s="18">
        <v>550000</v>
      </c>
      <c r="H642" s="11"/>
    </row>
    <row r="643" spans="2:15" ht="15.75">
      <c r="B643" s="476" t="s">
        <v>1309</v>
      </c>
      <c r="C643" s="477"/>
      <c r="D643" s="300">
        <v>45974</v>
      </c>
      <c r="E643" s="40"/>
      <c r="F643" s="40"/>
      <c r="G643" s="18">
        <v>725000</v>
      </c>
      <c r="H643" s="11"/>
    </row>
    <row r="644" spans="2:15" ht="15.75">
      <c r="B644" s="476" t="s">
        <v>1340</v>
      </c>
      <c r="C644" s="477"/>
      <c r="D644" s="300">
        <v>45975</v>
      </c>
      <c r="E644" s="40"/>
      <c r="F644" s="40"/>
      <c r="G644" s="18">
        <v>1340000</v>
      </c>
      <c r="H644" s="11"/>
    </row>
    <row r="645" spans="2:15" ht="15.75">
      <c r="B645" s="476" t="s">
        <v>1373</v>
      </c>
      <c r="C645" s="477"/>
      <c r="D645" s="300">
        <v>45978</v>
      </c>
      <c r="E645" s="40"/>
      <c r="F645" s="40"/>
      <c r="G645" s="18">
        <v>725000</v>
      </c>
      <c r="H645" s="11"/>
    </row>
    <row r="646" spans="2:15" ht="15.75">
      <c r="B646" s="476" t="s">
        <v>1392</v>
      </c>
      <c r="C646" s="477"/>
      <c r="D646" s="300">
        <v>45979</v>
      </c>
      <c r="E646" s="40"/>
      <c r="F646" s="40"/>
      <c r="G646" s="18">
        <v>1000000</v>
      </c>
      <c r="H646" s="11"/>
    </row>
    <row r="647" spans="2:15" ht="15.75">
      <c r="B647" s="476" t="s">
        <v>1407</v>
      </c>
      <c r="C647" s="477"/>
      <c r="D647" s="300">
        <v>45980</v>
      </c>
      <c r="E647" s="40"/>
      <c r="F647" s="40"/>
      <c r="G647" s="18">
        <v>800000</v>
      </c>
      <c r="H647" s="11"/>
    </row>
    <row r="648" spans="2:15" ht="15.75">
      <c r="B648" s="476" t="s">
        <v>1416</v>
      </c>
      <c r="C648" s="477"/>
      <c r="D648" s="300">
        <v>45981</v>
      </c>
      <c r="E648" s="40"/>
      <c r="F648" s="40"/>
      <c r="G648" s="18">
        <v>500000</v>
      </c>
      <c r="H648" s="11"/>
      <c r="O648" s="140"/>
    </row>
    <row r="649" spans="2:15" ht="15.75">
      <c r="B649" s="476" t="s">
        <v>1448</v>
      </c>
      <c r="C649" s="477"/>
      <c r="D649" s="300">
        <v>45982</v>
      </c>
      <c r="E649" s="40"/>
      <c r="F649" s="40"/>
      <c r="G649" s="18">
        <v>1000000</v>
      </c>
      <c r="H649" s="11"/>
      <c r="O649" s="140"/>
    </row>
    <row r="650" spans="2:15" ht="15.75">
      <c r="B650" s="476" t="s">
        <v>1449</v>
      </c>
      <c r="C650" s="477"/>
      <c r="D650" s="300">
        <v>45982</v>
      </c>
      <c r="E650" s="40"/>
      <c r="F650" s="40"/>
      <c r="G650" s="18">
        <v>300000</v>
      </c>
      <c r="H650" s="11"/>
      <c r="O650" s="140"/>
    </row>
    <row r="651" spans="2:15" ht="15.75">
      <c r="B651" s="473" t="s">
        <v>479</v>
      </c>
      <c r="C651" s="474"/>
      <c r="D651" s="300">
        <v>45983</v>
      </c>
      <c r="E651" s="40"/>
      <c r="F651" s="40"/>
      <c r="G651" s="18">
        <v>650000</v>
      </c>
      <c r="H651" s="11"/>
      <c r="O651" s="140"/>
    </row>
    <row r="652" spans="2:15" ht="15.75">
      <c r="B652" s="488" t="s">
        <v>1468</v>
      </c>
      <c r="C652" s="489"/>
      <c r="D652" s="300">
        <v>45985</v>
      </c>
      <c r="E652" s="40"/>
      <c r="F652" s="40"/>
      <c r="G652" s="18">
        <v>650000</v>
      </c>
      <c r="H652" s="11"/>
      <c r="O652" s="140"/>
    </row>
    <row r="653" spans="2:15" ht="15.75">
      <c r="B653" s="488" t="s">
        <v>1489</v>
      </c>
      <c r="C653" s="489"/>
      <c r="D653" s="300">
        <v>45986</v>
      </c>
      <c r="E653" s="40"/>
      <c r="F653" s="40"/>
      <c r="G653" s="18">
        <v>700000</v>
      </c>
      <c r="H653" s="11"/>
      <c r="O653" s="140"/>
    </row>
    <row r="654" spans="2:15" ht="15.75">
      <c r="B654" s="488" t="s">
        <v>1505</v>
      </c>
      <c r="C654" s="489"/>
      <c r="D654" s="300">
        <v>45987</v>
      </c>
      <c r="E654" s="40"/>
      <c r="F654" s="40"/>
      <c r="G654" s="18">
        <v>750000</v>
      </c>
      <c r="H654" s="11"/>
      <c r="O654" s="140"/>
    </row>
    <row r="655" spans="2:15" ht="15.75">
      <c r="B655" s="488" t="s">
        <v>1510</v>
      </c>
      <c r="C655" s="489"/>
      <c r="D655" s="300">
        <v>45987</v>
      </c>
      <c r="E655" s="40"/>
      <c r="F655" s="40"/>
      <c r="G655" s="18">
        <v>1002106</v>
      </c>
      <c r="H655" s="11"/>
      <c r="O655" s="140"/>
    </row>
    <row r="656" spans="2:15" ht="15.75">
      <c r="B656" s="488" t="s">
        <v>1511</v>
      </c>
      <c r="C656" s="489"/>
      <c r="D656" s="300">
        <v>45987</v>
      </c>
      <c r="E656" s="40"/>
      <c r="F656" s="40"/>
      <c r="G656" s="18">
        <v>456835</v>
      </c>
      <c r="H656" s="11"/>
      <c r="O656" s="140"/>
    </row>
    <row r="657" spans="2:15" ht="15.75">
      <c r="B657" s="488" t="s">
        <v>1520</v>
      </c>
      <c r="C657" s="489"/>
      <c r="D657" s="300">
        <v>45988</v>
      </c>
      <c r="E657" s="40"/>
      <c r="F657" s="40"/>
      <c r="G657" s="18">
        <v>820000</v>
      </c>
      <c r="H657" s="11"/>
      <c r="O657" s="140"/>
    </row>
    <row r="658" spans="2:15" ht="15.75">
      <c r="B658" s="488" t="s">
        <v>1521</v>
      </c>
      <c r="C658" s="489"/>
      <c r="D658" s="300">
        <v>45981</v>
      </c>
      <c r="E658" s="40"/>
      <c r="F658" s="40"/>
      <c r="G658" s="18">
        <v>3057</v>
      </c>
      <c r="H658" s="11"/>
      <c r="O658" s="140"/>
    </row>
    <row r="659" spans="2:15" ht="15.75">
      <c r="B659" s="488" t="s">
        <v>1522</v>
      </c>
      <c r="C659" s="489"/>
      <c r="D659" s="300">
        <v>45981</v>
      </c>
      <c r="E659" s="40"/>
      <c r="F659" s="40"/>
      <c r="G659" s="18">
        <v>2419</v>
      </c>
      <c r="H659" s="11"/>
      <c r="O659" s="140"/>
    </row>
    <row r="660" spans="2:15" ht="15.75">
      <c r="B660" s="488" t="s">
        <v>1523</v>
      </c>
      <c r="C660" s="489"/>
      <c r="D660" s="300">
        <v>45967</v>
      </c>
      <c r="E660" s="40"/>
      <c r="F660" s="40"/>
      <c r="G660" s="18">
        <v>6543</v>
      </c>
      <c r="H660" s="11"/>
      <c r="O660" s="140"/>
    </row>
    <row r="661" spans="2:15" ht="15.75">
      <c r="B661" s="488" t="s">
        <v>1524</v>
      </c>
      <c r="C661" s="489"/>
      <c r="D661" s="300">
        <v>45966</v>
      </c>
      <c r="E661" s="40"/>
      <c r="F661" s="40"/>
      <c r="G661" s="18">
        <v>11896</v>
      </c>
      <c r="H661" s="11"/>
      <c r="O661" s="140"/>
    </row>
    <row r="662" spans="2:15" ht="15.75">
      <c r="B662" s="488" t="s">
        <v>1525</v>
      </c>
      <c r="C662" s="489"/>
      <c r="D662" s="300">
        <v>45967</v>
      </c>
      <c r="E662" s="40"/>
      <c r="F662" s="40"/>
      <c r="G662" s="18">
        <v>1726</v>
      </c>
      <c r="H662" s="11"/>
      <c r="O662" s="140"/>
    </row>
    <row r="663" spans="2:15" ht="15.75">
      <c r="B663" s="488" t="s">
        <v>1526</v>
      </c>
      <c r="C663" s="489"/>
      <c r="D663" s="300">
        <v>45966</v>
      </c>
      <c r="E663" s="40"/>
      <c r="F663" s="40"/>
      <c r="G663" s="18">
        <v>22643</v>
      </c>
      <c r="H663" s="11"/>
      <c r="O663" s="140"/>
    </row>
    <row r="664" spans="2:15" ht="15.75">
      <c r="B664" s="488" t="s">
        <v>1527</v>
      </c>
      <c r="C664" s="489"/>
      <c r="D664" s="300">
        <v>45967</v>
      </c>
      <c r="E664" s="40"/>
      <c r="F664" s="40"/>
      <c r="G664" s="18">
        <v>21682</v>
      </c>
      <c r="H664" s="11"/>
      <c r="O664" s="140"/>
    </row>
    <row r="665" spans="2:15" ht="15.75">
      <c r="B665" s="488" t="s">
        <v>1528</v>
      </c>
      <c r="C665" s="489"/>
      <c r="D665" s="300">
        <v>45973</v>
      </c>
      <c r="E665" s="40"/>
      <c r="F665" s="40"/>
      <c r="G665" s="18">
        <v>1296</v>
      </c>
      <c r="H665" s="11"/>
      <c r="O665" s="140"/>
    </row>
    <row r="666" spans="2:15" ht="15.75">
      <c r="B666" s="488" t="s">
        <v>1529</v>
      </c>
      <c r="C666" s="489"/>
      <c r="D666" s="300">
        <v>45973</v>
      </c>
      <c r="E666" s="40"/>
      <c r="F666" s="40"/>
      <c r="G666" s="18">
        <v>2878</v>
      </c>
      <c r="H666" s="11"/>
      <c r="O666" s="140"/>
    </row>
    <row r="667" spans="2:15" ht="15.75">
      <c r="B667" s="488" t="s">
        <v>1530</v>
      </c>
      <c r="C667" s="489"/>
      <c r="D667" s="300">
        <v>45987</v>
      </c>
      <c r="E667" s="40"/>
      <c r="F667" s="40"/>
      <c r="G667" s="18">
        <v>227774</v>
      </c>
      <c r="H667" s="11"/>
      <c r="O667" s="140"/>
    </row>
    <row r="668" spans="2:15" ht="15.75">
      <c r="B668" s="488" t="s">
        <v>1531</v>
      </c>
      <c r="C668" s="489"/>
      <c r="D668" s="300">
        <v>45988</v>
      </c>
      <c r="E668" s="40"/>
      <c r="F668" s="40"/>
      <c r="G668" s="18">
        <v>100354</v>
      </c>
      <c r="H668" s="11"/>
      <c r="O668" s="140"/>
    </row>
    <row r="669" spans="2:15" ht="15.75">
      <c r="B669" s="488" t="s">
        <v>1532</v>
      </c>
      <c r="C669" s="489"/>
      <c r="D669" s="300">
        <v>45988</v>
      </c>
      <c r="E669" s="40"/>
      <c r="F669" s="40"/>
      <c r="G669" s="18">
        <v>190349.60011595549</v>
      </c>
      <c r="H669" s="11"/>
      <c r="O669" s="140"/>
    </row>
    <row r="670" spans="2:15" ht="15.75">
      <c r="B670" s="488" t="s">
        <v>1551</v>
      </c>
      <c r="C670" s="489"/>
      <c r="D670" s="300">
        <v>45989</v>
      </c>
      <c r="E670" s="40"/>
      <c r="F670" s="40"/>
      <c r="G670" s="18">
        <v>910000</v>
      </c>
      <c r="H670" s="11"/>
      <c r="O670" s="140"/>
    </row>
    <row r="671" spans="2:15" ht="15.75">
      <c r="B671" s="488"/>
      <c r="C671" s="489"/>
      <c r="D671" s="300"/>
      <c r="E671" s="40"/>
      <c r="F671" s="40"/>
      <c r="G671" s="18"/>
      <c r="H671" s="11"/>
      <c r="O671" s="140"/>
    </row>
    <row r="672" spans="2:15" ht="15.75">
      <c r="B672" s="488"/>
      <c r="C672" s="489"/>
      <c r="D672" s="300"/>
      <c r="E672" s="40"/>
      <c r="F672" s="40"/>
      <c r="G672" s="18"/>
      <c r="H672" s="11"/>
      <c r="O672" s="140"/>
    </row>
    <row r="673" spans="2:15" ht="15.75">
      <c r="B673" s="488"/>
      <c r="C673" s="489"/>
      <c r="D673" s="300"/>
      <c r="E673" s="40"/>
      <c r="F673" s="40"/>
      <c r="G673" s="18"/>
      <c r="H673" s="11"/>
      <c r="O673" s="140"/>
    </row>
    <row r="674" spans="2:15" ht="15.75">
      <c r="B674" s="488"/>
      <c r="C674" s="489"/>
      <c r="D674" s="300"/>
      <c r="E674" s="40"/>
      <c r="F674" s="40"/>
      <c r="G674" s="18"/>
      <c r="H674" s="11"/>
      <c r="O674" s="140"/>
    </row>
    <row r="675" spans="2:15" ht="15.75">
      <c r="B675" s="488"/>
      <c r="C675" s="489"/>
      <c r="D675" s="300"/>
      <c r="E675" s="40"/>
      <c r="F675" s="40"/>
      <c r="G675" s="18"/>
      <c r="H675" s="11"/>
      <c r="O675" s="140"/>
    </row>
    <row r="676" spans="2:15" ht="15.75">
      <c r="B676" s="512"/>
      <c r="C676" s="513"/>
      <c r="D676" s="40"/>
      <c r="E676" s="40"/>
      <c r="F676" s="40"/>
      <c r="G676" s="18"/>
      <c r="H676" s="11"/>
    </row>
    <row r="677" spans="2:15" ht="15.75">
      <c r="B677" s="478"/>
      <c r="C677" s="479"/>
      <c r="D677" s="11"/>
      <c r="E677" s="11"/>
      <c r="F677" s="11"/>
      <c r="G677" s="75"/>
      <c r="H677" s="11"/>
    </row>
    <row r="678" spans="2:15">
      <c r="B678" s="10"/>
      <c r="C678" s="11"/>
      <c r="D678" s="11"/>
      <c r="E678" s="11"/>
      <c r="F678" s="11"/>
      <c r="G678" s="11"/>
      <c r="H678" s="11"/>
    </row>
    <row r="679" spans="2:15">
      <c r="B679" s="10"/>
      <c r="C679" s="11"/>
      <c r="D679" s="11"/>
      <c r="E679" s="11"/>
      <c r="F679" s="11"/>
      <c r="G679" s="12">
        <f>SUM(G634:G678)</f>
        <v>19367428.600115955</v>
      </c>
      <c r="H679" s="11"/>
    </row>
    <row r="680" spans="2:15">
      <c r="B680" s="10"/>
      <c r="C680" s="27" t="s">
        <v>259</v>
      </c>
      <c r="D680" s="11"/>
      <c r="E680" s="11"/>
      <c r="F680" s="11"/>
      <c r="G680" s="26">
        <f>G679-G630</f>
        <v>1297381.6001159549</v>
      </c>
      <c r="H680" s="11"/>
    </row>
  </sheetData>
  <mergeCells count="529">
    <mergeCell ref="B674:C674"/>
    <mergeCell ref="B675:C675"/>
    <mergeCell ref="B676:C676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D615:E615"/>
    <mergeCell ref="D616:E616"/>
    <mergeCell ref="D617:E617"/>
    <mergeCell ref="D618:E618"/>
    <mergeCell ref="D624:E624"/>
    <mergeCell ref="B632:C632"/>
    <mergeCell ref="B633:C633"/>
    <mergeCell ref="D619:E619"/>
    <mergeCell ref="D620:E620"/>
    <mergeCell ref="D621:E621"/>
    <mergeCell ref="D622:E622"/>
    <mergeCell ref="D623:E623"/>
    <mergeCell ref="B631:C631"/>
    <mergeCell ref="B524:C524"/>
    <mergeCell ref="B525:C525"/>
    <mergeCell ref="B526:C526"/>
    <mergeCell ref="B527:C527"/>
    <mergeCell ref="B528:C528"/>
    <mergeCell ref="D569:E569"/>
    <mergeCell ref="D570:E570"/>
    <mergeCell ref="D571:E571"/>
    <mergeCell ref="D572:E572"/>
    <mergeCell ref="B560:H561"/>
    <mergeCell ref="D562:E562"/>
    <mergeCell ref="D563:E563"/>
    <mergeCell ref="D564:E564"/>
    <mergeCell ref="D565:E565"/>
    <mergeCell ref="D566:E566"/>
    <mergeCell ref="D567:E567"/>
    <mergeCell ref="D568:E568"/>
    <mergeCell ref="B532:C532"/>
    <mergeCell ref="B531:C531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97:E597"/>
    <mergeCell ref="D581:E581"/>
    <mergeCell ref="D582:E582"/>
    <mergeCell ref="D583:E583"/>
    <mergeCell ref="D584:E584"/>
    <mergeCell ref="D585:E585"/>
    <mergeCell ref="D595:E595"/>
    <mergeCell ref="D596:E596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483:E483"/>
    <mergeCell ref="D484:E484"/>
    <mergeCell ref="D488:E488"/>
    <mergeCell ref="D489:E489"/>
    <mergeCell ref="D491:E491"/>
    <mergeCell ref="B521:C521"/>
    <mergeCell ref="B522:C522"/>
    <mergeCell ref="D485:E485"/>
    <mergeCell ref="D486:E486"/>
    <mergeCell ref="D487:E487"/>
    <mergeCell ref="D490:E490"/>
    <mergeCell ref="B517:C517"/>
    <mergeCell ref="B518:C518"/>
    <mergeCell ref="B516:C516"/>
    <mergeCell ref="B506:C506"/>
    <mergeCell ref="D493:E493"/>
    <mergeCell ref="B495:C495"/>
    <mergeCell ref="B499:C499"/>
    <mergeCell ref="D492:E492"/>
    <mergeCell ref="B514:C514"/>
    <mergeCell ref="B519:C519"/>
    <mergeCell ref="B520:C520"/>
    <mergeCell ref="D481:E481"/>
    <mergeCell ref="D482:E482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80:E480"/>
    <mergeCell ref="D454:E454"/>
    <mergeCell ref="D477:E477"/>
    <mergeCell ref="D478:E478"/>
    <mergeCell ref="D479:E479"/>
    <mergeCell ref="D459:E459"/>
    <mergeCell ref="D455:E455"/>
    <mergeCell ref="D456:E456"/>
    <mergeCell ref="D457:E457"/>
    <mergeCell ref="D458:E458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315:E315"/>
    <mergeCell ref="D316:E316"/>
    <mergeCell ref="D317:E317"/>
    <mergeCell ref="D314:E314"/>
    <mergeCell ref="D318:E318"/>
    <mergeCell ref="D319:E319"/>
    <mergeCell ref="D257:E257"/>
    <mergeCell ref="D258:E258"/>
    <mergeCell ref="D259:E259"/>
    <mergeCell ref="D260:E260"/>
    <mergeCell ref="D261:E261"/>
    <mergeCell ref="D272:E272"/>
    <mergeCell ref="D273:E273"/>
    <mergeCell ref="D267:E267"/>
    <mergeCell ref="D268:E268"/>
    <mergeCell ref="D263:E263"/>
    <mergeCell ref="D264:E264"/>
    <mergeCell ref="D265:E265"/>
    <mergeCell ref="D266:E266"/>
    <mergeCell ref="D283:E283"/>
    <mergeCell ref="D262:E262"/>
    <mergeCell ref="D288:E288"/>
    <mergeCell ref="D289:E289"/>
    <mergeCell ref="D290:E290"/>
    <mergeCell ref="D255:E255"/>
    <mergeCell ref="D256:E256"/>
    <mergeCell ref="B246:H247"/>
    <mergeCell ref="D251:E251"/>
    <mergeCell ref="D252:E252"/>
    <mergeCell ref="D253:E253"/>
    <mergeCell ref="D254:E254"/>
    <mergeCell ref="B192:C192"/>
    <mergeCell ref="B205:C205"/>
    <mergeCell ref="B195:C195"/>
    <mergeCell ref="B200:C200"/>
    <mergeCell ref="B201:C201"/>
    <mergeCell ref="B202:C202"/>
    <mergeCell ref="B197:C197"/>
    <mergeCell ref="D250:E250"/>
    <mergeCell ref="B198:C198"/>
    <mergeCell ref="B199:C199"/>
    <mergeCell ref="B203:C203"/>
    <mergeCell ref="D248:E248"/>
    <mergeCell ref="D249:E249"/>
    <mergeCell ref="B204:C204"/>
    <mergeCell ref="D274:E274"/>
    <mergeCell ref="D275:E275"/>
    <mergeCell ref="B173:C173"/>
    <mergeCell ref="D157:E157"/>
    <mergeCell ref="D158:E158"/>
    <mergeCell ref="D159:E159"/>
    <mergeCell ref="D160:E160"/>
    <mergeCell ref="B178:C178"/>
    <mergeCell ref="D321:E321"/>
    <mergeCell ref="D291:E291"/>
    <mergeCell ref="D297:E297"/>
    <mergeCell ref="D311:E311"/>
    <mergeCell ref="D292:E292"/>
    <mergeCell ref="D293:E293"/>
    <mergeCell ref="D304:E304"/>
    <mergeCell ref="D312:E312"/>
    <mergeCell ref="D313:E313"/>
    <mergeCell ref="D303:E303"/>
    <mergeCell ref="D299:E299"/>
    <mergeCell ref="D300:E300"/>
    <mergeCell ref="D306:E306"/>
    <mergeCell ref="D307:E307"/>
    <mergeCell ref="D308:E308"/>
    <mergeCell ref="D309:E309"/>
    <mergeCell ref="D320:E320"/>
    <mergeCell ref="D269:E269"/>
    <mergeCell ref="B179:C179"/>
    <mergeCell ref="B175:C175"/>
    <mergeCell ref="B182:C182"/>
    <mergeCell ref="B196:C196"/>
    <mergeCell ref="B184:C184"/>
    <mergeCell ref="B183:C183"/>
    <mergeCell ref="B194:C194"/>
    <mergeCell ref="B180:C180"/>
    <mergeCell ref="B187:C187"/>
    <mergeCell ref="B188:C188"/>
    <mergeCell ref="B177:C177"/>
    <mergeCell ref="B176:C176"/>
    <mergeCell ref="B193:C193"/>
    <mergeCell ref="B181:C181"/>
    <mergeCell ref="B190:C190"/>
    <mergeCell ref="D276:E276"/>
    <mergeCell ref="D277:E277"/>
    <mergeCell ref="D278:E278"/>
    <mergeCell ref="D279:E279"/>
    <mergeCell ref="D280:E280"/>
    <mergeCell ref="D281:E281"/>
    <mergeCell ref="D282:E282"/>
    <mergeCell ref="D137:E137"/>
    <mergeCell ref="D161:E161"/>
    <mergeCell ref="D141:E141"/>
    <mergeCell ref="D142:E142"/>
    <mergeCell ref="D143:E143"/>
    <mergeCell ref="D147:E147"/>
    <mergeCell ref="D156:E156"/>
    <mergeCell ref="D148:E148"/>
    <mergeCell ref="D138:E138"/>
    <mergeCell ref="D139:E139"/>
    <mergeCell ref="D140:E140"/>
    <mergeCell ref="D144:E144"/>
    <mergeCell ref="D145:E145"/>
    <mergeCell ref="D146:E146"/>
    <mergeCell ref="D133:E133"/>
    <mergeCell ref="D134:E134"/>
    <mergeCell ref="D135:E135"/>
    <mergeCell ref="D136:E136"/>
    <mergeCell ref="D103:E103"/>
    <mergeCell ref="D109:E109"/>
    <mergeCell ref="D102:E102"/>
    <mergeCell ref="D127:E127"/>
    <mergeCell ref="D128:E128"/>
    <mergeCell ref="D129:E129"/>
    <mergeCell ref="D130:E130"/>
    <mergeCell ref="D131:E131"/>
    <mergeCell ref="D132:E132"/>
    <mergeCell ref="D104:E104"/>
    <mergeCell ref="D105:E105"/>
    <mergeCell ref="D106:E106"/>
    <mergeCell ref="D107:E107"/>
    <mergeCell ref="D108:E108"/>
    <mergeCell ref="D113:E113"/>
    <mergeCell ref="D126:E126"/>
    <mergeCell ref="D114:E114"/>
    <mergeCell ref="D115:E115"/>
    <mergeCell ref="D116:E116"/>
    <mergeCell ref="D124:E124"/>
    <mergeCell ref="D63:E63"/>
    <mergeCell ref="D64:E64"/>
    <mergeCell ref="D98:E98"/>
    <mergeCell ref="B91:H92"/>
    <mergeCell ref="D101:E101"/>
    <mergeCell ref="D99:E99"/>
    <mergeCell ref="D100:E100"/>
    <mergeCell ref="B66:C66"/>
    <mergeCell ref="B67:C67"/>
    <mergeCell ref="B69:C69"/>
    <mergeCell ref="B68:C68"/>
    <mergeCell ref="B74:C74"/>
    <mergeCell ref="B70:C70"/>
    <mergeCell ref="B72:C72"/>
    <mergeCell ref="D97:E97"/>
    <mergeCell ref="D93:E93"/>
    <mergeCell ref="D94:E94"/>
    <mergeCell ref="D95:E95"/>
    <mergeCell ref="D96:E96"/>
    <mergeCell ref="B75:C75"/>
    <mergeCell ref="B73:C73"/>
    <mergeCell ref="B71:C71"/>
    <mergeCell ref="B81:C81"/>
    <mergeCell ref="D125:E125"/>
    <mergeCell ref="D118:E118"/>
    <mergeCell ref="D119:E119"/>
    <mergeCell ref="D120:E120"/>
    <mergeCell ref="D121:E121"/>
    <mergeCell ref="D122:E122"/>
    <mergeCell ref="D123:E123"/>
    <mergeCell ref="D111:E111"/>
    <mergeCell ref="D112:E112"/>
    <mergeCell ref="D110:E110"/>
    <mergeCell ref="B79:C79"/>
    <mergeCell ref="B80:C80"/>
    <mergeCell ref="B77:C77"/>
    <mergeCell ref="D117:E117"/>
    <mergeCell ref="B8:H9"/>
    <mergeCell ref="D10:E10"/>
    <mergeCell ref="D11:E11"/>
    <mergeCell ref="D12:E12"/>
    <mergeCell ref="D13:E13"/>
    <mergeCell ref="D14:E14"/>
    <mergeCell ref="D15:E15"/>
    <mergeCell ref="D16:E16"/>
    <mergeCell ref="D19:E19"/>
    <mergeCell ref="D34:E34"/>
    <mergeCell ref="D35:E35"/>
    <mergeCell ref="D36:E36"/>
    <mergeCell ref="D31:E31"/>
    <mergeCell ref="D32:E32"/>
    <mergeCell ref="D17:E17"/>
    <mergeCell ref="D18:E18"/>
    <mergeCell ref="D21:E21"/>
    <mergeCell ref="D22:E22"/>
    <mergeCell ref="D23:E23"/>
    <mergeCell ref="D20:E20"/>
    <mergeCell ref="D29:E29"/>
    <mergeCell ref="D30:E30"/>
    <mergeCell ref="D24:E24"/>
    <mergeCell ref="D25:E25"/>
    <mergeCell ref="D26:E26"/>
    <mergeCell ref="D27:E27"/>
    <mergeCell ref="D28:E28"/>
    <mergeCell ref="D33:E33"/>
    <mergeCell ref="D42:E42"/>
    <mergeCell ref="D58:E58"/>
    <mergeCell ref="D59:E59"/>
    <mergeCell ref="D37:E37"/>
    <mergeCell ref="D38:E38"/>
    <mergeCell ref="D43:E43"/>
    <mergeCell ref="D44:E44"/>
    <mergeCell ref="D54:E54"/>
    <mergeCell ref="D45:E45"/>
    <mergeCell ref="D49:E49"/>
    <mergeCell ref="D50:E50"/>
    <mergeCell ref="D51:E51"/>
    <mergeCell ref="D52:E52"/>
    <mergeCell ref="D53:E53"/>
    <mergeCell ref="D47:E47"/>
    <mergeCell ref="D39:E39"/>
    <mergeCell ref="D40:E40"/>
    <mergeCell ref="D41:E41"/>
    <mergeCell ref="D48:E48"/>
    <mergeCell ref="D46:E46"/>
    <mergeCell ref="D56:E56"/>
    <mergeCell ref="D55:E55"/>
    <mergeCell ref="D57:E57"/>
    <mergeCell ref="D60:E60"/>
    <mergeCell ref="B191:C191"/>
    <mergeCell ref="D149:E149"/>
    <mergeCell ref="D150:E150"/>
    <mergeCell ref="D151:E151"/>
    <mergeCell ref="D152:E152"/>
    <mergeCell ref="D165:E165"/>
    <mergeCell ref="D166:E166"/>
    <mergeCell ref="D153:E153"/>
    <mergeCell ref="D154:E154"/>
    <mergeCell ref="D155:E155"/>
    <mergeCell ref="D162:E162"/>
    <mergeCell ref="D163:E163"/>
    <mergeCell ref="D164:E164"/>
    <mergeCell ref="D171:E171"/>
    <mergeCell ref="B185:C185"/>
    <mergeCell ref="B186:C186"/>
    <mergeCell ref="D167:E167"/>
    <mergeCell ref="D168:E168"/>
    <mergeCell ref="D169:E169"/>
    <mergeCell ref="B189:C189"/>
    <mergeCell ref="B174:C174"/>
    <mergeCell ref="B76:C76"/>
    <mergeCell ref="B78:C78"/>
    <mergeCell ref="D287:E287"/>
    <mergeCell ref="D284:E284"/>
    <mergeCell ref="D270:E270"/>
    <mergeCell ref="D271:E271"/>
    <mergeCell ref="D285:E285"/>
    <mergeCell ref="D286:E286"/>
    <mergeCell ref="B370:C370"/>
    <mergeCell ref="D301:E301"/>
    <mergeCell ref="D302:E302"/>
    <mergeCell ref="D294:E294"/>
    <mergeCell ref="D295:E295"/>
    <mergeCell ref="D296:E296"/>
    <mergeCell ref="D298:E298"/>
    <mergeCell ref="D305:E305"/>
    <mergeCell ref="D324:E324"/>
    <mergeCell ref="D310:E310"/>
    <mergeCell ref="D327:E327"/>
    <mergeCell ref="D322:E322"/>
    <mergeCell ref="D323:E323"/>
    <mergeCell ref="D325:E325"/>
    <mergeCell ref="D326:E326"/>
    <mergeCell ref="B331:C331"/>
    <mergeCell ref="B332:C332"/>
    <mergeCell ref="B356:C356"/>
    <mergeCell ref="D421:E421"/>
    <mergeCell ref="D428:E428"/>
    <mergeCell ref="D429:E429"/>
    <mergeCell ref="B333:C333"/>
    <mergeCell ref="B330:C330"/>
    <mergeCell ref="B533:C533"/>
    <mergeCell ref="B496:C496"/>
    <mergeCell ref="B497:C497"/>
    <mergeCell ref="B498:C498"/>
    <mergeCell ref="B500:C500"/>
    <mergeCell ref="B501:C501"/>
    <mergeCell ref="B502:C502"/>
    <mergeCell ref="B503:C503"/>
    <mergeCell ref="B504:C504"/>
    <mergeCell ref="B505:C505"/>
    <mergeCell ref="B507:C507"/>
    <mergeCell ref="B508:C508"/>
    <mergeCell ref="B513:C513"/>
    <mergeCell ref="B512:C512"/>
    <mergeCell ref="B511:C511"/>
    <mergeCell ref="B510:C510"/>
    <mergeCell ref="B509:C509"/>
    <mergeCell ref="B523:C523"/>
    <mergeCell ref="B515:C515"/>
    <mergeCell ref="B334:C334"/>
    <mergeCell ref="B335:C335"/>
    <mergeCell ref="B336:C336"/>
    <mergeCell ref="D402:E402"/>
    <mergeCell ref="D403:E403"/>
    <mergeCell ref="D400:E400"/>
    <mergeCell ref="D401:E401"/>
    <mergeCell ref="B361:C361"/>
    <mergeCell ref="B360:C360"/>
    <mergeCell ref="B359:C359"/>
    <mergeCell ref="B337:C337"/>
    <mergeCell ref="B338:C338"/>
    <mergeCell ref="B339:C339"/>
    <mergeCell ref="B340:C340"/>
    <mergeCell ref="B343:C343"/>
    <mergeCell ref="B341:C341"/>
    <mergeCell ref="B342:C342"/>
    <mergeCell ref="B348:C348"/>
    <mergeCell ref="B349:C349"/>
    <mergeCell ref="B398:H399"/>
    <mergeCell ref="B344:C344"/>
    <mergeCell ref="B345:C345"/>
    <mergeCell ref="B346:C346"/>
    <mergeCell ref="B347:C347"/>
    <mergeCell ref="B375:C375"/>
    <mergeCell ref="B376:C376"/>
    <mergeCell ref="B350:C350"/>
    <mergeCell ref="B351:C351"/>
    <mergeCell ref="B352:C352"/>
    <mergeCell ref="B353:C353"/>
    <mergeCell ref="B354:C354"/>
    <mergeCell ref="B357:C357"/>
    <mergeCell ref="B358:C358"/>
    <mergeCell ref="B355:C355"/>
    <mergeCell ref="B362:C362"/>
    <mergeCell ref="D328:E328"/>
    <mergeCell ref="D427:E427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3:E413"/>
    <mergeCell ref="D412:E412"/>
    <mergeCell ref="D422:E422"/>
    <mergeCell ref="D423:E423"/>
    <mergeCell ref="D424:E424"/>
    <mergeCell ref="D425:E425"/>
    <mergeCell ref="D426:E426"/>
    <mergeCell ref="D415:E415"/>
    <mergeCell ref="D416:E416"/>
    <mergeCell ref="D417:E417"/>
    <mergeCell ref="D418:E418"/>
    <mergeCell ref="D419:E419"/>
    <mergeCell ref="D420:E420"/>
    <mergeCell ref="D414:E414"/>
    <mergeCell ref="D452:E452"/>
    <mergeCell ref="D453:E453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47:E44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8:E448"/>
    <mergeCell ref="D449:E449"/>
    <mergeCell ref="D450:E450"/>
    <mergeCell ref="D451:E451"/>
    <mergeCell ref="D594:E594"/>
    <mergeCell ref="D600:E600"/>
    <mergeCell ref="D601:E601"/>
    <mergeCell ref="D602:E602"/>
    <mergeCell ref="D603:E603"/>
    <mergeCell ref="D604:E604"/>
    <mergeCell ref="D605:E605"/>
    <mergeCell ref="D606:E606"/>
    <mergeCell ref="D598:E598"/>
    <mergeCell ref="D599:E599"/>
    <mergeCell ref="D607:E607"/>
    <mergeCell ref="D608:E608"/>
    <mergeCell ref="D609:E609"/>
    <mergeCell ref="D610:E610"/>
    <mergeCell ref="D611:E611"/>
    <mergeCell ref="D612:E612"/>
    <mergeCell ref="D627:E627"/>
    <mergeCell ref="D628:E628"/>
    <mergeCell ref="D629:E629"/>
    <mergeCell ref="D613:E613"/>
    <mergeCell ref="D614:E614"/>
    <mergeCell ref="D625:E625"/>
    <mergeCell ref="D626:E6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Q685"/>
  <sheetViews>
    <sheetView tabSelected="1" zoomScale="90" zoomScaleNormal="90" workbookViewId="0">
      <pane ySplit="3" topLeftCell="A415" activePane="bottomLeft" state="frozen"/>
      <selection pane="bottomLeft" activeCell="O426" sqref="O426"/>
    </sheetView>
  </sheetViews>
  <sheetFormatPr defaultRowHeight="15"/>
  <cols>
    <col min="2" max="2" width="22.85546875" customWidth="1"/>
    <col min="3" max="3" width="15.28515625" customWidth="1"/>
    <col min="4" max="4" width="9.140625" style="79"/>
    <col min="5" max="5" width="15.85546875" bestFit="1" customWidth="1"/>
    <col min="6" max="6" width="16.85546875" style="11" customWidth="1"/>
    <col min="7" max="7" width="11.28515625" bestFit="1" customWidth="1"/>
    <col min="8" max="8" width="10.5703125" style="51" bestFit="1" customWidth="1"/>
    <col min="10" max="10" width="10.5703125" style="11" bestFit="1" customWidth="1"/>
    <col min="11" max="11" width="13.85546875" style="79" bestFit="1" customWidth="1"/>
    <col min="12" max="12" width="29.85546875" bestFit="1" customWidth="1"/>
    <col min="13" max="13" width="14.7109375" customWidth="1"/>
    <col min="14" max="14" width="13" customWidth="1"/>
    <col min="15" max="15" width="3" customWidth="1"/>
    <col min="16" max="16" width="16" bestFit="1" customWidth="1"/>
    <col min="17" max="17" width="16" customWidth="1"/>
  </cols>
  <sheetData>
    <row r="1" spans="2:17" ht="24" thickBot="1">
      <c r="B1" s="514" t="s">
        <v>80</v>
      </c>
      <c r="C1" s="515"/>
      <c r="D1" s="515"/>
      <c r="E1" s="515"/>
      <c r="F1" s="515"/>
      <c r="G1" s="515"/>
      <c r="H1" s="515"/>
      <c r="I1" s="515"/>
      <c r="J1" s="515"/>
      <c r="K1" s="515"/>
      <c r="L1" s="516"/>
    </row>
    <row r="3" spans="2:17" s="19" customFormat="1" ht="21.75" customHeight="1">
      <c r="B3" s="47" t="s">
        <v>19</v>
      </c>
      <c r="C3" s="47" t="s">
        <v>28</v>
      </c>
      <c r="D3" s="106" t="s">
        <v>20</v>
      </c>
      <c r="E3" s="210" t="s">
        <v>21</v>
      </c>
      <c r="F3" s="36" t="s">
        <v>22</v>
      </c>
      <c r="G3" s="211" t="s">
        <v>0</v>
      </c>
      <c r="H3" s="128" t="s">
        <v>24</v>
      </c>
      <c r="I3" s="210" t="s">
        <v>27</v>
      </c>
      <c r="J3" s="36" t="s">
        <v>2</v>
      </c>
      <c r="K3" s="390" t="s">
        <v>75</v>
      </c>
      <c r="L3" s="47" t="s">
        <v>6</v>
      </c>
      <c r="M3" s="36" t="s">
        <v>89</v>
      </c>
      <c r="N3" s="36" t="s">
        <v>57</v>
      </c>
      <c r="O3"/>
      <c r="P3" s="55" t="s">
        <v>73</v>
      </c>
      <c r="Q3"/>
    </row>
    <row r="4" spans="2:17">
      <c r="B4" s="155" t="s">
        <v>166</v>
      </c>
      <c r="C4" s="155" t="s">
        <v>48</v>
      </c>
      <c r="D4" s="156"/>
      <c r="E4" s="167" t="s">
        <v>26</v>
      </c>
      <c r="F4" s="155" t="s">
        <v>249</v>
      </c>
      <c r="G4" s="212">
        <v>45880</v>
      </c>
      <c r="H4" s="157">
        <v>45880</v>
      </c>
      <c r="I4" s="167">
        <f t="shared" ref="I4" si="0">H4-G4</f>
        <v>0</v>
      </c>
      <c r="J4" s="158">
        <v>2439</v>
      </c>
      <c r="K4" s="391" t="s">
        <v>819</v>
      </c>
      <c r="L4" s="155" t="s">
        <v>204</v>
      </c>
    </row>
    <row r="5" spans="2:17">
      <c r="B5" s="155" t="s">
        <v>455</v>
      </c>
      <c r="C5" s="155" t="s">
        <v>63</v>
      </c>
      <c r="D5" s="156"/>
      <c r="E5" s="319" t="s">
        <v>64</v>
      </c>
      <c r="F5" s="155" t="s">
        <v>489</v>
      </c>
      <c r="G5" s="212">
        <v>45915</v>
      </c>
      <c r="H5" s="157">
        <v>45921</v>
      </c>
      <c r="I5" s="167">
        <f t="shared" ref="I5:I9" si="1">H5-G5</f>
        <v>6</v>
      </c>
      <c r="J5" s="161">
        <v>5598</v>
      </c>
      <c r="K5" s="391" t="s">
        <v>798</v>
      </c>
      <c r="L5" s="155" t="s">
        <v>204</v>
      </c>
    </row>
    <row r="6" spans="2:17">
      <c r="B6" s="155" t="s">
        <v>459</v>
      </c>
      <c r="C6" s="155" t="s">
        <v>56</v>
      </c>
      <c r="D6" s="156"/>
      <c r="E6" s="155" t="s">
        <v>31</v>
      </c>
      <c r="F6" s="155" t="s">
        <v>503</v>
      </c>
      <c r="G6" s="157">
        <v>45917</v>
      </c>
      <c r="H6" s="157">
        <v>45927</v>
      </c>
      <c r="I6" s="155">
        <f t="shared" si="1"/>
        <v>10</v>
      </c>
      <c r="J6" s="161">
        <v>6600</v>
      </c>
      <c r="K6" s="392">
        <v>45879</v>
      </c>
      <c r="L6" s="155" t="s">
        <v>204</v>
      </c>
      <c r="P6">
        <v>300</v>
      </c>
    </row>
    <row r="7" spans="2:17">
      <c r="B7" s="155" t="s">
        <v>508</v>
      </c>
      <c r="C7" s="155" t="s">
        <v>31</v>
      </c>
      <c r="D7" s="156"/>
      <c r="E7" s="155" t="s">
        <v>128</v>
      </c>
      <c r="F7" s="155" t="s">
        <v>509</v>
      </c>
      <c r="G7" s="157">
        <v>45918</v>
      </c>
      <c r="H7" s="186">
        <v>45939</v>
      </c>
      <c r="I7" s="155">
        <f t="shared" si="1"/>
        <v>21</v>
      </c>
      <c r="J7" s="158">
        <v>28000</v>
      </c>
      <c r="K7" s="156" t="s">
        <v>798</v>
      </c>
      <c r="L7" s="155" t="s">
        <v>204</v>
      </c>
    </row>
    <row r="8" spans="2:17">
      <c r="B8" s="155" t="s">
        <v>508</v>
      </c>
      <c r="C8" s="155" t="s">
        <v>31</v>
      </c>
      <c r="D8" s="156"/>
      <c r="E8" s="155" t="s">
        <v>128</v>
      </c>
      <c r="F8" s="155" t="s">
        <v>510</v>
      </c>
      <c r="G8" s="157">
        <v>45918</v>
      </c>
      <c r="H8" s="186">
        <v>45940</v>
      </c>
      <c r="I8" s="155">
        <f t="shared" si="1"/>
        <v>22</v>
      </c>
      <c r="J8" s="158">
        <v>27000</v>
      </c>
      <c r="K8" s="156" t="s">
        <v>798</v>
      </c>
      <c r="L8" s="155" t="s">
        <v>204</v>
      </c>
    </row>
    <row r="9" spans="2:17">
      <c r="B9" s="155" t="s">
        <v>508</v>
      </c>
      <c r="C9" s="155" t="s">
        <v>31</v>
      </c>
      <c r="D9" s="156"/>
      <c r="E9" s="155" t="s">
        <v>128</v>
      </c>
      <c r="F9" s="155" t="s">
        <v>511</v>
      </c>
      <c r="G9" s="157">
        <v>45918</v>
      </c>
      <c r="H9" s="186">
        <v>45941</v>
      </c>
      <c r="I9" s="155">
        <f t="shared" si="1"/>
        <v>23</v>
      </c>
      <c r="J9" s="158">
        <v>25000</v>
      </c>
      <c r="K9" s="156" t="s">
        <v>798</v>
      </c>
      <c r="L9" s="155" t="s">
        <v>204</v>
      </c>
    </row>
    <row r="10" spans="2:17">
      <c r="B10" s="155" t="s">
        <v>190</v>
      </c>
      <c r="C10" s="156" t="s">
        <v>520</v>
      </c>
      <c r="D10" s="156"/>
      <c r="E10" s="156" t="s">
        <v>128</v>
      </c>
      <c r="F10" s="156" t="s">
        <v>521</v>
      </c>
      <c r="G10" s="157">
        <v>45920</v>
      </c>
      <c r="H10" s="186">
        <v>45945</v>
      </c>
      <c r="I10" s="155">
        <f t="shared" ref="I10:I18" si="2">H10-G10</f>
        <v>25</v>
      </c>
      <c r="J10" s="158"/>
      <c r="K10" s="156"/>
      <c r="L10" s="155" t="s">
        <v>204</v>
      </c>
      <c r="M10" s="35" t="s">
        <v>617</v>
      </c>
      <c r="N10" s="35"/>
      <c r="O10" s="35"/>
    </row>
    <row r="11" spans="2:17">
      <c r="B11" s="155" t="s">
        <v>220</v>
      </c>
      <c r="C11" s="156" t="s">
        <v>31</v>
      </c>
      <c r="D11" s="156"/>
      <c r="E11" s="156" t="s">
        <v>128</v>
      </c>
      <c r="F11" s="155" t="s">
        <v>539</v>
      </c>
      <c r="G11" s="157">
        <v>45923</v>
      </c>
      <c r="H11" s="186">
        <v>45938</v>
      </c>
      <c r="I11" s="155">
        <f t="shared" si="2"/>
        <v>15</v>
      </c>
      <c r="J11" s="158">
        <v>27929</v>
      </c>
      <c r="K11" s="392">
        <v>45910</v>
      </c>
      <c r="L11" s="155" t="s">
        <v>204</v>
      </c>
    </row>
    <row r="12" spans="2:17">
      <c r="B12" s="155" t="s">
        <v>542</v>
      </c>
      <c r="C12" s="156" t="s">
        <v>31</v>
      </c>
      <c r="D12" s="156"/>
      <c r="E12" s="156" t="s">
        <v>128</v>
      </c>
      <c r="F12" s="155" t="s">
        <v>543</v>
      </c>
      <c r="G12" s="157">
        <v>45924</v>
      </c>
      <c r="H12" s="186">
        <v>45937</v>
      </c>
      <c r="I12" s="155">
        <f t="shared" si="2"/>
        <v>13</v>
      </c>
      <c r="J12" s="158">
        <v>26000</v>
      </c>
      <c r="K12" s="392">
        <v>45879</v>
      </c>
      <c r="L12" s="155" t="s">
        <v>204</v>
      </c>
    </row>
    <row r="13" spans="2:17">
      <c r="B13" s="155" t="s">
        <v>459</v>
      </c>
      <c r="C13" s="155" t="s">
        <v>56</v>
      </c>
      <c r="D13" s="156"/>
      <c r="E13" s="156" t="s">
        <v>31</v>
      </c>
      <c r="F13" s="155" t="s">
        <v>545</v>
      </c>
      <c r="G13" s="157">
        <v>45924</v>
      </c>
      <c r="H13" s="186">
        <v>45933</v>
      </c>
      <c r="I13" s="155">
        <f t="shared" si="2"/>
        <v>9</v>
      </c>
      <c r="J13" s="161">
        <v>5500</v>
      </c>
      <c r="K13" s="392">
        <v>45879</v>
      </c>
      <c r="L13" s="155" t="s">
        <v>204</v>
      </c>
      <c r="P13">
        <v>300</v>
      </c>
    </row>
    <row r="14" spans="2:17">
      <c r="B14" s="155" t="s">
        <v>348</v>
      </c>
      <c r="C14" s="155" t="s">
        <v>63</v>
      </c>
      <c r="D14" s="156"/>
      <c r="E14" s="155" t="s">
        <v>541</v>
      </c>
      <c r="F14" s="155" t="s">
        <v>552</v>
      </c>
      <c r="G14" s="157">
        <v>45925</v>
      </c>
      <c r="H14" s="186">
        <v>45933</v>
      </c>
      <c r="I14" s="155">
        <f t="shared" si="2"/>
        <v>8</v>
      </c>
      <c r="J14" s="301">
        <v>7422</v>
      </c>
      <c r="K14" s="156" t="s">
        <v>910</v>
      </c>
      <c r="L14" s="155" t="s">
        <v>204</v>
      </c>
      <c r="P14">
        <v>300</v>
      </c>
    </row>
    <row r="15" spans="2:17">
      <c r="B15" s="155" t="s">
        <v>237</v>
      </c>
      <c r="C15" s="155" t="s">
        <v>56</v>
      </c>
      <c r="D15" s="156"/>
      <c r="E15" s="156" t="s">
        <v>31</v>
      </c>
      <c r="F15" s="155" t="s">
        <v>555</v>
      </c>
      <c r="G15" s="157">
        <v>45925</v>
      </c>
      <c r="H15" s="186">
        <v>45940</v>
      </c>
      <c r="I15" s="155">
        <f t="shared" si="2"/>
        <v>15</v>
      </c>
      <c r="J15" s="301">
        <v>9590</v>
      </c>
      <c r="K15" s="156" t="s">
        <v>798</v>
      </c>
      <c r="L15" s="155" t="s">
        <v>204</v>
      </c>
    </row>
    <row r="16" spans="2:17">
      <c r="B16" s="155" t="s">
        <v>579</v>
      </c>
      <c r="C16" s="155" t="s">
        <v>31</v>
      </c>
      <c r="D16" s="156"/>
      <c r="E16" s="155" t="s">
        <v>128</v>
      </c>
      <c r="F16" s="155" t="s">
        <v>558</v>
      </c>
      <c r="G16" s="157">
        <v>45925</v>
      </c>
      <c r="H16" s="186">
        <v>45940</v>
      </c>
      <c r="I16" s="155">
        <f t="shared" si="2"/>
        <v>15</v>
      </c>
      <c r="J16" s="158">
        <v>77000</v>
      </c>
      <c r="K16" s="156" t="s">
        <v>798</v>
      </c>
      <c r="L16" s="155" t="s">
        <v>204</v>
      </c>
    </row>
    <row r="17" spans="2:16">
      <c r="B17" s="21" t="s">
        <v>211</v>
      </c>
      <c r="C17" s="11" t="s">
        <v>31</v>
      </c>
      <c r="D17" s="78"/>
      <c r="E17" s="11" t="s">
        <v>128</v>
      </c>
      <c r="F17" s="30" t="s">
        <v>563</v>
      </c>
      <c r="G17" s="22">
        <v>45926</v>
      </c>
      <c r="H17" s="170">
        <v>45931</v>
      </c>
      <c r="I17" s="11">
        <f t="shared" si="2"/>
        <v>5</v>
      </c>
      <c r="J17" s="29">
        <v>243000</v>
      </c>
      <c r="K17" s="78"/>
      <c r="L17" s="11"/>
    </row>
    <row r="18" spans="2:16">
      <c r="B18" s="155" t="s">
        <v>241</v>
      </c>
      <c r="C18" s="155" t="s">
        <v>48</v>
      </c>
      <c r="D18" s="156"/>
      <c r="E18" s="155" t="s">
        <v>26</v>
      </c>
      <c r="F18" s="155" t="s">
        <v>564</v>
      </c>
      <c r="G18" s="157">
        <v>45926</v>
      </c>
      <c r="H18" s="186">
        <v>45941</v>
      </c>
      <c r="I18" s="155">
        <f t="shared" si="2"/>
        <v>15</v>
      </c>
      <c r="J18" s="158">
        <v>2452</v>
      </c>
      <c r="K18" s="156" t="s">
        <v>814</v>
      </c>
      <c r="L18" s="155" t="s">
        <v>204</v>
      </c>
    </row>
    <row r="19" spans="2:16">
      <c r="B19" s="155" t="s">
        <v>459</v>
      </c>
      <c r="C19" s="155" t="s">
        <v>48</v>
      </c>
      <c r="D19" s="156"/>
      <c r="E19" s="155" t="s">
        <v>26</v>
      </c>
      <c r="F19" s="155" t="s">
        <v>575</v>
      </c>
      <c r="G19" s="157">
        <v>45927</v>
      </c>
      <c r="H19" s="186">
        <v>45937</v>
      </c>
      <c r="I19" s="155">
        <f t="shared" ref="I19:I31" si="3">H19-G19</f>
        <v>10</v>
      </c>
      <c r="J19" s="161">
        <v>7700</v>
      </c>
      <c r="K19" s="156" t="s">
        <v>948</v>
      </c>
      <c r="L19" s="155" t="s">
        <v>204</v>
      </c>
    </row>
    <row r="20" spans="2:16">
      <c r="B20" s="155" t="s">
        <v>577</v>
      </c>
      <c r="C20" s="155" t="s">
        <v>31</v>
      </c>
      <c r="D20" s="156"/>
      <c r="E20" s="155" t="s">
        <v>128</v>
      </c>
      <c r="F20" s="155" t="s">
        <v>576</v>
      </c>
      <c r="G20" s="157">
        <v>45927</v>
      </c>
      <c r="H20" s="186">
        <v>45937</v>
      </c>
      <c r="I20" s="155">
        <f t="shared" si="3"/>
        <v>10</v>
      </c>
      <c r="J20" s="158">
        <v>50902</v>
      </c>
      <c r="K20" s="392">
        <v>45879</v>
      </c>
      <c r="L20" s="155" t="s">
        <v>204</v>
      </c>
    </row>
    <row r="21" spans="2:16">
      <c r="B21" s="155" t="s">
        <v>486</v>
      </c>
      <c r="C21" s="155" t="s">
        <v>56</v>
      </c>
      <c r="D21" s="156"/>
      <c r="E21" s="155" t="s">
        <v>31</v>
      </c>
      <c r="F21" s="155" t="s">
        <v>578</v>
      </c>
      <c r="G21" s="157">
        <v>45927</v>
      </c>
      <c r="H21" s="186">
        <v>45937</v>
      </c>
      <c r="I21" s="155">
        <f t="shared" si="3"/>
        <v>10</v>
      </c>
      <c r="J21" s="158">
        <v>9200</v>
      </c>
      <c r="K21" s="392">
        <v>45879</v>
      </c>
      <c r="L21" s="155" t="s">
        <v>204</v>
      </c>
    </row>
    <row r="22" spans="2:16">
      <c r="B22" s="155" t="s">
        <v>347</v>
      </c>
      <c r="C22" s="155" t="s">
        <v>63</v>
      </c>
      <c r="D22" s="156"/>
      <c r="E22" s="155" t="s">
        <v>541</v>
      </c>
      <c r="F22" s="155" t="s">
        <v>591</v>
      </c>
      <c r="G22" s="157">
        <v>45929</v>
      </c>
      <c r="H22" s="186">
        <v>45936</v>
      </c>
      <c r="I22" s="155">
        <f t="shared" si="3"/>
        <v>7</v>
      </c>
      <c r="J22" s="161">
        <v>6536</v>
      </c>
      <c r="K22" s="156" t="s">
        <v>838</v>
      </c>
      <c r="L22" s="155" t="s">
        <v>204</v>
      </c>
      <c r="P22">
        <v>300</v>
      </c>
    </row>
    <row r="23" spans="2:16">
      <c r="B23" s="155" t="s">
        <v>594</v>
      </c>
      <c r="C23" s="155" t="s">
        <v>63</v>
      </c>
      <c r="D23" s="156"/>
      <c r="E23" s="155" t="s">
        <v>541</v>
      </c>
      <c r="F23" s="155" t="s">
        <v>592</v>
      </c>
      <c r="G23" s="157">
        <v>45929</v>
      </c>
      <c r="H23" s="186">
        <v>45938</v>
      </c>
      <c r="I23" s="155">
        <f t="shared" si="3"/>
        <v>9</v>
      </c>
      <c r="J23" s="301">
        <v>8000</v>
      </c>
      <c r="K23" s="392">
        <v>45910</v>
      </c>
      <c r="L23" s="155" t="s">
        <v>204</v>
      </c>
    </row>
    <row r="24" spans="2:16">
      <c r="B24" s="155" t="s">
        <v>346</v>
      </c>
      <c r="C24" s="155" t="s">
        <v>63</v>
      </c>
      <c r="D24" s="156"/>
      <c r="E24" s="155" t="s">
        <v>541</v>
      </c>
      <c r="F24" s="155" t="s">
        <v>593</v>
      </c>
      <c r="G24" s="157">
        <v>45929</v>
      </c>
      <c r="H24" s="186">
        <v>45941</v>
      </c>
      <c r="I24" s="155">
        <f t="shared" si="3"/>
        <v>12</v>
      </c>
      <c r="J24" s="301">
        <v>23869</v>
      </c>
      <c r="K24" s="156" t="s">
        <v>814</v>
      </c>
      <c r="L24" s="155" t="s">
        <v>204</v>
      </c>
    </row>
    <row r="25" spans="2:16">
      <c r="B25" s="155" t="s">
        <v>596</v>
      </c>
      <c r="C25" s="155" t="s">
        <v>31</v>
      </c>
      <c r="D25" s="156"/>
      <c r="E25" s="155" t="s">
        <v>128</v>
      </c>
      <c r="F25" s="155" t="s">
        <v>620</v>
      </c>
      <c r="G25" s="157">
        <v>45929</v>
      </c>
      <c r="H25" s="186">
        <v>45938</v>
      </c>
      <c r="I25" s="155">
        <f t="shared" si="3"/>
        <v>9</v>
      </c>
      <c r="J25" s="158">
        <v>33717</v>
      </c>
      <c r="K25" s="392">
        <v>45910</v>
      </c>
      <c r="L25" s="155" t="s">
        <v>204</v>
      </c>
      <c r="M25" t="s">
        <v>597</v>
      </c>
    </row>
    <row r="26" spans="2:16">
      <c r="B26" s="155" t="s">
        <v>599</v>
      </c>
      <c r="C26" s="155" t="s">
        <v>31</v>
      </c>
      <c r="D26" s="156"/>
      <c r="E26" s="155" t="s">
        <v>128</v>
      </c>
      <c r="F26" s="155" t="s">
        <v>598</v>
      </c>
      <c r="G26" s="157">
        <v>45929</v>
      </c>
      <c r="H26" s="186">
        <v>45942</v>
      </c>
      <c r="I26" s="155">
        <f t="shared" si="3"/>
        <v>13</v>
      </c>
      <c r="J26" s="158">
        <v>38130</v>
      </c>
      <c r="K26" s="156" t="s">
        <v>814</v>
      </c>
      <c r="L26" s="155" t="s">
        <v>204</v>
      </c>
    </row>
    <row r="27" spans="2:16">
      <c r="B27" s="155" t="s">
        <v>557</v>
      </c>
      <c r="C27" s="155" t="s">
        <v>56</v>
      </c>
      <c r="D27" s="156"/>
      <c r="E27" s="155" t="s">
        <v>31</v>
      </c>
      <c r="F27" s="155" t="s">
        <v>600</v>
      </c>
      <c r="G27" s="157">
        <v>45929</v>
      </c>
      <c r="H27" s="186">
        <v>45937</v>
      </c>
      <c r="I27" s="155">
        <f t="shared" si="3"/>
        <v>8</v>
      </c>
      <c r="J27" s="161">
        <v>6000</v>
      </c>
      <c r="K27" s="392">
        <v>45879</v>
      </c>
      <c r="L27" s="155" t="s">
        <v>204</v>
      </c>
    </row>
    <row r="28" spans="2:16">
      <c r="B28" s="155" t="s">
        <v>238</v>
      </c>
      <c r="C28" s="155" t="s">
        <v>56</v>
      </c>
      <c r="D28" s="156"/>
      <c r="E28" s="155" t="s">
        <v>31</v>
      </c>
      <c r="F28" s="155" t="s">
        <v>601</v>
      </c>
      <c r="G28" s="157">
        <v>45929</v>
      </c>
      <c r="H28" s="186">
        <v>45938</v>
      </c>
      <c r="I28" s="155">
        <f t="shared" si="3"/>
        <v>9</v>
      </c>
      <c r="J28" s="161">
        <v>4640</v>
      </c>
      <c r="K28" s="392">
        <v>45910</v>
      </c>
      <c r="L28" s="155" t="s">
        <v>204</v>
      </c>
    </row>
    <row r="29" spans="2:16">
      <c r="B29" s="155" t="s">
        <v>203</v>
      </c>
      <c r="C29" s="155" t="s">
        <v>63</v>
      </c>
      <c r="D29" s="156"/>
      <c r="E29" s="155" t="s">
        <v>64</v>
      </c>
      <c r="F29" s="155" t="s">
        <v>608</v>
      </c>
      <c r="G29" s="157">
        <v>45930</v>
      </c>
      <c r="H29" s="186">
        <v>45940</v>
      </c>
      <c r="I29" s="155">
        <f t="shared" si="3"/>
        <v>10</v>
      </c>
      <c r="J29" s="161">
        <v>14978</v>
      </c>
      <c r="K29" s="156" t="s">
        <v>910</v>
      </c>
      <c r="L29" s="155" t="s">
        <v>204</v>
      </c>
    </row>
    <row r="30" spans="2:16">
      <c r="B30" s="155" t="s">
        <v>265</v>
      </c>
      <c r="C30" s="155" t="s">
        <v>63</v>
      </c>
      <c r="D30" s="156"/>
      <c r="E30" s="155" t="s">
        <v>64</v>
      </c>
      <c r="F30" s="155" t="s">
        <v>609</v>
      </c>
      <c r="G30" s="157">
        <v>45930</v>
      </c>
      <c r="H30" s="186">
        <v>45939</v>
      </c>
      <c r="I30" s="155">
        <f t="shared" si="3"/>
        <v>9</v>
      </c>
      <c r="J30" s="161">
        <v>9217</v>
      </c>
      <c r="K30" s="392">
        <v>45940</v>
      </c>
      <c r="L30" s="155" t="s">
        <v>204</v>
      </c>
    </row>
    <row r="31" spans="2:16">
      <c r="B31" s="155" t="s">
        <v>84</v>
      </c>
      <c r="C31" s="155" t="s">
        <v>63</v>
      </c>
      <c r="D31" s="156"/>
      <c r="E31" s="155" t="s">
        <v>64</v>
      </c>
      <c r="F31" s="155" t="s">
        <v>610</v>
      </c>
      <c r="G31" s="157">
        <v>45930</v>
      </c>
      <c r="H31" s="186">
        <v>45939</v>
      </c>
      <c r="I31" s="155">
        <f t="shared" si="3"/>
        <v>9</v>
      </c>
      <c r="J31" s="161">
        <v>5393</v>
      </c>
      <c r="K31" s="392">
        <v>45940</v>
      </c>
      <c r="L31" s="155" t="s">
        <v>204</v>
      </c>
    </row>
    <row r="32" spans="2:16">
      <c r="B32" s="155" t="s">
        <v>426</v>
      </c>
      <c r="C32" s="155" t="s">
        <v>63</v>
      </c>
      <c r="D32" s="156"/>
      <c r="E32" s="155" t="s">
        <v>64</v>
      </c>
      <c r="F32" s="155" t="s">
        <v>611</v>
      </c>
      <c r="G32" s="157">
        <v>45930</v>
      </c>
      <c r="H32" s="186">
        <v>45939</v>
      </c>
      <c r="I32" s="155">
        <f t="shared" ref="I32:I49" si="4">H32-G32</f>
        <v>9</v>
      </c>
      <c r="J32" s="161">
        <v>7850</v>
      </c>
      <c r="K32" s="392">
        <v>45940</v>
      </c>
      <c r="L32" s="155" t="s">
        <v>204</v>
      </c>
    </row>
    <row r="33" spans="2:16">
      <c r="B33" s="155" t="s">
        <v>312</v>
      </c>
      <c r="C33" s="155" t="s">
        <v>31</v>
      </c>
      <c r="D33" s="156"/>
      <c r="E33" s="155" t="s">
        <v>128</v>
      </c>
      <c r="F33" s="155" t="s">
        <v>612</v>
      </c>
      <c r="G33" s="157">
        <v>45930</v>
      </c>
      <c r="H33" s="186">
        <v>45946</v>
      </c>
      <c r="I33" s="155">
        <f t="shared" si="4"/>
        <v>16</v>
      </c>
      <c r="J33" s="158">
        <v>97737</v>
      </c>
      <c r="K33" s="156" t="s">
        <v>892</v>
      </c>
      <c r="L33" s="155" t="s">
        <v>204</v>
      </c>
    </row>
    <row r="34" spans="2:16">
      <c r="B34" s="155" t="s">
        <v>298</v>
      </c>
      <c r="C34" s="155" t="s">
        <v>56</v>
      </c>
      <c r="D34" s="156"/>
      <c r="E34" s="155" t="s">
        <v>31</v>
      </c>
      <c r="F34" s="155" t="s">
        <v>614</v>
      </c>
      <c r="G34" s="157">
        <v>45930</v>
      </c>
      <c r="H34" s="186">
        <v>45937</v>
      </c>
      <c r="I34" s="155">
        <f t="shared" si="4"/>
        <v>7</v>
      </c>
      <c r="J34" s="158">
        <v>3900</v>
      </c>
      <c r="K34" s="392">
        <v>45910</v>
      </c>
      <c r="L34" s="155" t="s">
        <v>204</v>
      </c>
    </row>
    <row r="35" spans="2:16">
      <c r="B35" s="155" t="s">
        <v>190</v>
      </c>
      <c r="C35" s="155" t="s">
        <v>31</v>
      </c>
      <c r="D35" s="156"/>
      <c r="E35" s="155" t="s">
        <v>128</v>
      </c>
      <c r="F35" s="155" t="s">
        <v>618</v>
      </c>
      <c r="G35" s="186">
        <v>45931</v>
      </c>
      <c r="H35" s="186">
        <v>45935</v>
      </c>
      <c r="I35" s="155">
        <f t="shared" si="4"/>
        <v>4</v>
      </c>
      <c r="J35" s="158">
        <v>212000</v>
      </c>
      <c r="K35" s="392">
        <v>45910</v>
      </c>
      <c r="L35" s="155" t="s">
        <v>204</v>
      </c>
      <c r="P35">
        <v>300</v>
      </c>
    </row>
    <row r="36" spans="2:16">
      <c r="B36" s="155" t="s">
        <v>190</v>
      </c>
      <c r="C36" s="155" t="s">
        <v>31</v>
      </c>
      <c r="D36" s="156"/>
      <c r="E36" s="155" t="s">
        <v>128</v>
      </c>
      <c r="F36" s="155" t="s">
        <v>619</v>
      </c>
      <c r="G36" s="186">
        <v>45931</v>
      </c>
      <c r="H36" s="186">
        <v>45940</v>
      </c>
      <c r="I36" s="155">
        <f t="shared" si="4"/>
        <v>9</v>
      </c>
      <c r="J36" s="158">
        <v>22000</v>
      </c>
      <c r="K36" s="156" t="s">
        <v>814</v>
      </c>
      <c r="L36" s="155" t="s">
        <v>204</v>
      </c>
    </row>
    <row r="37" spans="2:16">
      <c r="B37" s="155" t="s">
        <v>39</v>
      </c>
      <c r="C37" s="155" t="s">
        <v>63</v>
      </c>
      <c r="D37" s="156"/>
      <c r="E37" s="155" t="s">
        <v>64</v>
      </c>
      <c r="F37" s="155" t="s">
        <v>621</v>
      </c>
      <c r="G37" s="186">
        <v>45931</v>
      </c>
      <c r="H37" s="186">
        <v>45939</v>
      </c>
      <c r="I37" s="155">
        <f t="shared" si="4"/>
        <v>8</v>
      </c>
      <c r="J37" s="158">
        <v>6693</v>
      </c>
      <c r="K37" s="392">
        <v>45940</v>
      </c>
      <c r="L37" s="155" t="s">
        <v>204</v>
      </c>
    </row>
    <row r="38" spans="2:16">
      <c r="B38" s="155" t="s">
        <v>622</v>
      </c>
      <c r="C38" s="155" t="s">
        <v>63</v>
      </c>
      <c r="D38" s="156"/>
      <c r="E38" s="155" t="s">
        <v>64</v>
      </c>
      <c r="F38" s="155" t="s">
        <v>623</v>
      </c>
      <c r="G38" s="186">
        <v>45931</v>
      </c>
      <c r="H38" s="186">
        <v>45939</v>
      </c>
      <c r="I38" s="155">
        <f t="shared" si="4"/>
        <v>8</v>
      </c>
      <c r="J38" s="158">
        <v>3253</v>
      </c>
      <c r="K38" s="156" t="s">
        <v>814</v>
      </c>
      <c r="L38" s="155" t="s">
        <v>204</v>
      </c>
    </row>
    <row r="39" spans="2:16">
      <c r="B39" s="155" t="s">
        <v>167</v>
      </c>
      <c r="C39" s="155" t="s">
        <v>56</v>
      </c>
      <c r="D39" s="156"/>
      <c r="E39" s="155" t="s">
        <v>31</v>
      </c>
      <c r="F39" s="155" t="s">
        <v>624</v>
      </c>
      <c r="G39" s="186">
        <v>45931</v>
      </c>
      <c r="H39" s="186">
        <v>45940</v>
      </c>
      <c r="I39" s="155">
        <f t="shared" si="4"/>
        <v>9</v>
      </c>
      <c r="J39" s="158">
        <v>18286</v>
      </c>
      <c r="K39" s="156" t="s">
        <v>798</v>
      </c>
      <c r="L39" s="155" t="s">
        <v>204</v>
      </c>
    </row>
    <row r="40" spans="2:16">
      <c r="B40" s="155" t="s">
        <v>553</v>
      </c>
      <c r="C40" s="155" t="s">
        <v>31</v>
      </c>
      <c r="D40" s="156"/>
      <c r="E40" s="155" t="s">
        <v>128</v>
      </c>
      <c r="F40" s="155" t="s">
        <v>625</v>
      </c>
      <c r="G40" s="186">
        <v>45931</v>
      </c>
      <c r="H40" s="186">
        <v>45937</v>
      </c>
      <c r="I40" s="155">
        <f t="shared" si="4"/>
        <v>6</v>
      </c>
      <c r="J40" s="158">
        <v>2303</v>
      </c>
      <c r="K40" s="392">
        <v>45879</v>
      </c>
      <c r="L40" s="155" t="s">
        <v>204</v>
      </c>
    </row>
    <row r="41" spans="2:16">
      <c r="B41" s="155" t="s">
        <v>629</v>
      </c>
      <c r="C41" s="155" t="s">
        <v>56</v>
      </c>
      <c r="D41" s="156"/>
      <c r="E41" s="155" t="s">
        <v>31</v>
      </c>
      <c r="F41" s="155" t="s">
        <v>626</v>
      </c>
      <c r="G41" s="186">
        <v>45931</v>
      </c>
      <c r="H41" s="186">
        <v>45937</v>
      </c>
      <c r="I41" s="155">
        <f t="shared" si="4"/>
        <v>6</v>
      </c>
      <c r="J41" s="161">
        <v>7000</v>
      </c>
      <c r="K41" s="392">
        <v>45879</v>
      </c>
      <c r="L41" s="155" t="s">
        <v>204</v>
      </c>
    </row>
    <row r="42" spans="2:16">
      <c r="B42" s="155" t="s">
        <v>65</v>
      </c>
      <c r="C42" s="155" t="s">
        <v>56</v>
      </c>
      <c r="D42" s="156"/>
      <c r="E42" s="155" t="s">
        <v>31</v>
      </c>
      <c r="F42" s="155" t="s">
        <v>627</v>
      </c>
      <c r="G42" s="186">
        <v>45931</v>
      </c>
      <c r="H42" s="186">
        <v>45938</v>
      </c>
      <c r="I42" s="155">
        <f t="shared" si="4"/>
        <v>7</v>
      </c>
      <c r="J42" s="161">
        <v>5620</v>
      </c>
      <c r="K42" s="392">
        <v>45910</v>
      </c>
      <c r="L42" s="155" t="s">
        <v>204</v>
      </c>
    </row>
    <row r="43" spans="2:16">
      <c r="B43" s="155" t="s">
        <v>179</v>
      </c>
      <c r="C43" s="155" t="s">
        <v>56</v>
      </c>
      <c r="D43" s="156"/>
      <c r="E43" s="155" t="s">
        <v>31</v>
      </c>
      <c r="F43" s="155" t="s">
        <v>628</v>
      </c>
      <c r="G43" s="186">
        <v>45931</v>
      </c>
      <c r="H43" s="186">
        <v>45938</v>
      </c>
      <c r="I43" s="155">
        <f t="shared" si="4"/>
        <v>7</v>
      </c>
      <c r="J43" s="161">
        <v>6480</v>
      </c>
      <c r="K43" s="156" t="s">
        <v>892</v>
      </c>
      <c r="L43" s="155" t="s">
        <v>204</v>
      </c>
    </row>
    <row r="44" spans="2:16">
      <c r="B44" s="155" t="s">
        <v>485</v>
      </c>
      <c r="C44" s="155" t="s">
        <v>63</v>
      </c>
      <c r="D44" s="156"/>
      <c r="E44" s="155" t="s">
        <v>64</v>
      </c>
      <c r="F44" s="155" t="s">
        <v>641</v>
      </c>
      <c r="G44" s="186">
        <v>45932</v>
      </c>
      <c r="H44" s="186">
        <v>45940</v>
      </c>
      <c r="I44" s="155">
        <f t="shared" si="4"/>
        <v>8</v>
      </c>
      <c r="J44" s="158">
        <v>4153</v>
      </c>
      <c r="K44" s="156" t="s">
        <v>963</v>
      </c>
      <c r="L44" s="155" t="s">
        <v>204</v>
      </c>
    </row>
    <row r="45" spans="2:16">
      <c r="B45" s="155" t="s">
        <v>237</v>
      </c>
      <c r="C45" s="155" t="s">
        <v>48</v>
      </c>
      <c r="D45" s="156"/>
      <c r="E45" s="155" t="s">
        <v>26</v>
      </c>
      <c r="F45" s="155" t="s">
        <v>643</v>
      </c>
      <c r="G45" s="186">
        <v>45932</v>
      </c>
      <c r="H45" s="186">
        <v>45940</v>
      </c>
      <c r="I45" s="155">
        <f t="shared" si="4"/>
        <v>8</v>
      </c>
      <c r="J45" s="158">
        <v>20520</v>
      </c>
      <c r="K45" s="156" t="s">
        <v>798</v>
      </c>
      <c r="L45" s="155" t="s">
        <v>204</v>
      </c>
    </row>
    <row r="46" spans="2:16">
      <c r="B46" s="155" t="s">
        <v>237</v>
      </c>
      <c r="C46" s="155" t="s">
        <v>56</v>
      </c>
      <c r="D46" s="156"/>
      <c r="E46" s="155" t="s">
        <v>31</v>
      </c>
      <c r="F46" s="155" t="s">
        <v>644</v>
      </c>
      <c r="G46" s="186">
        <v>45932</v>
      </c>
      <c r="H46" s="186">
        <v>45942</v>
      </c>
      <c r="I46" s="155">
        <f t="shared" si="4"/>
        <v>10</v>
      </c>
      <c r="J46" s="158">
        <v>10390</v>
      </c>
      <c r="K46" s="156" t="s">
        <v>814</v>
      </c>
      <c r="L46" s="155" t="s">
        <v>204</v>
      </c>
    </row>
    <row r="47" spans="2:16">
      <c r="B47" s="155" t="s">
        <v>167</v>
      </c>
      <c r="C47" s="155" t="s">
        <v>48</v>
      </c>
      <c r="D47" s="156"/>
      <c r="E47" s="155" t="s">
        <v>26</v>
      </c>
      <c r="F47" s="155" t="s">
        <v>646</v>
      </c>
      <c r="G47" s="186">
        <v>45932</v>
      </c>
      <c r="H47" s="186">
        <v>45943</v>
      </c>
      <c r="I47" s="155">
        <f t="shared" si="4"/>
        <v>11</v>
      </c>
      <c r="J47" s="158">
        <v>11413</v>
      </c>
      <c r="K47" s="156" t="s">
        <v>814</v>
      </c>
      <c r="L47" s="155" t="s">
        <v>204</v>
      </c>
    </row>
    <row r="48" spans="2:16">
      <c r="B48" s="155" t="s">
        <v>648</v>
      </c>
      <c r="C48" s="155" t="s">
        <v>432</v>
      </c>
      <c r="D48" s="156"/>
      <c r="E48" s="155" t="s">
        <v>390</v>
      </c>
      <c r="F48" s="155" t="s">
        <v>647</v>
      </c>
      <c r="G48" s="186">
        <v>45932</v>
      </c>
      <c r="H48" s="186">
        <v>45941</v>
      </c>
      <c r="I48" s="155">
        <f t="shared" si="4"/>
        <v>9</v>
      </c>
      <c r="J48" s="158">
        <v>8086</v>
      </c>
      <c r="K48" s="156" t="s">
        <v>814</v>
      </c>
      <c r="L48" s="155" t="s">
        <v>204</v>
      </c>
    </row>
    <row r="49" spans="2:12">
      <c r="B49" s="155" t="s">
        <v>30</v>
      </c>
      <c r="C49" s="155" t="s">
        <v>31</v>
      </c>
      <c r="D49" s="156"/>
      <c r="E49" s="155" t="s">
        <v>128</v>
      </c>
      <c r="F49" s="155" t="s">
        <v>649</v>
      </c>
      <c r="G49" s="186">
        <v>45932</v>
      </c>
      <c r="H49" s="186">
        <v>45948</v>
      </c>
      <c r="I49" s="155">
        <f t="shared" si="4"/>
        <v>16</v>
      </c>
      <c r="J49" s="161">
        <v>14563</v>
      </c>
      <c r="K49" s="156" t="s">
        <v>948</v>
      </c>
      <c r="L49" s="155" t="s">
        <v>204</v>
      </c>
    </row>
    <row r="50" spans="2:12">
      <c r="B50" s="155" t="s">
        <v>562</v>
      </c>
      <c r="C50" s="155" t="s">
        <v>31</v>
      </c>
      <c r="D50" s="156"/>
      <c r="E50" s="155" t="s">
        <v>128</v>
      </c>
      <c r="F50" s="155" t="s">
        <v>650</v>
      </c>
      <c r="G50" s="186">
        <v>45932</v>
      </c>
      <c r="H50" s="186">
        <v>45945</v>
      </c>
      <c r="I50" s="155">
        <f t="shared" ref="I50:I61" si="5">H50-G50</f>
        <v>13</v>
      </c>
      <c r="J50" s="158">
        <v>32200</v>
      </c>
      <c r="K50" s="156" t="s">
        <v>874</v>
      </c>
      <c r="L50" s="155" t="s">
        <v>204</v>
      </c>
    </row>
    <row r="51" spans="2:12">
      <c r="B51" s="155" t="s">
        <v>562</v>
      </c>
      <c r="C51" s="155" t="s">
        <v>31</v>
      </c>
      <c r="D51" s="156"/>
      <c r="E51" s="155" t="s">
        <v>128</v>
      </c>
      <c r="F51" s="155" t="s">
        <v>651</v>
      </c>
      <c r="G51" s="186">
        <v>45932</v>
      </c>
      <c r="H51" s="186">
        <v>45947</v>
      </c>
      <c r="I51" s="155">
        <f t="shared" si="5"/>
        <v>15</v>
      </c>
      <c r="J51" s="158">
        <v>32300</v>
      </c>
      <c r="K51" s="156" t="s">
        <v>892</v>
      </c>
      <c r="L51" s="155" t="s">
        <v>204</v>
      </c>
    </row>
    <row r="52" spans="2:12">
      <c r="B52" s="155" t="s">
        <v>562</v>
      </c>
      <c r="C52" s="155" t="s">
        <v>31</v>
      </c>
      <c r="D52" s="156"/>
      <c r="E52" s="155" t="s">
        <v>128</v>
      </c>
      <c r="F52" s="155" t="s">
        <v>652</v>
      </c>
      <c r="G52" s="186">
        <v>45932</v>
      </c>
      <c r="H52" s="186">
        <v>45949</v>
      </c>
      <c r="I52" s="155">
        <f t="shared" si="5"/>
        <v>17</v>
      </c>
      <c r="J52" s="158">
        <v>32400</v>
      </c>
      <c r="K52" s="156" t="s">
        <v>948</v>
      </c>
      <c r="L52" s="155" t="s">
        <v>204</v>
      </c>
    </row>
    <row r="53" spans="2:12">
      <c r="B53" s="155" t="s">
        <v>562</v>
      </c>
      <c r="C53" s="155" t="s">
        <v>31</v>
      </c>
      <c r="D53" s="156"/>
      <c r="E53" s="155" t="s">
        <v>128</v>
      </c>
      <c r="F53" s="155" t="s">
        <v>653</v>
      </c>
      <c r="G53" s="186">
        <v>45932</v>
      </c>
      <c r="H53" s="186">
        <v>45953</v>
      </c>
      <c r="I53" s="155">
        <f t="shared" si="5"/>
        <v>21</v>
      </c>
      <c r="J53" s="158">
        <v>32500</v>
      </c>
      <c r="K53" s="392">
        <v>45668</v>
      </c>
      <c r="L53" s="155" t="s">
        <v>204</v>
      </c>
    </row>
    <row r="54" spans="2:12">
      <c r="B54" s="155" t="s">
        <v>562</v>
      </c>
      <c r="C54" s="155" t="s">
        <v>31</v>
      </c>
      <c r="D54" s="156"/>
      <c r="E54" s="155" t="s">
        <v>128</v>
      </c>
      <c r="F54" s="155" t="s">
        <v>654</v>
      </c>
      <c r="G54" s="186">
        <v>45932</v>
      </c>
      <c r="H54" s="186">
        <v>45955</v>
      </c>
      <c r="I54" s="155">
        <f t="shared" si="5"/>
        <v>23</v>
      </c>
      <c r="J54" s="158">
        <v>32600</v>
      </c>
      <c r="K54" s="156" t="s">
        <v>1032</v>
      </c>
      <c r="L54" s="156" t="s">
        <v>204</v>
      </c>
    </row>
    <row r="55" spans="2:12">
      <c r="B55" s="155" t="s">
        <v>613</v>
      </c>
      <c r="C55" s="155" t="s">
        <v>31</v>
      </c>
      <c r="D55" s="156"/>
      <c r="E55" s="155" t="s">
        <v>128</v>
      </c>
      <c r="F55" s="155" t="s">
        <v>655</v>
      </c>
      <c r="G55" s="186">
        <v>45932</v>
      </c>
      <c r="H55" s="186">
        <v>45938</v>
      </c>
      <c r="I55" s="155">
        <f t="shared" si="5"/>
        <v>6</v>
      </c>
      <c r="J55" s="158">
        <v>38000</v>
      </c>
      <c r="K55" s="392">
        <v>45910</v>
      </c>
      <c r="L55" s="155" t="s">
        <v>204</v>
      </c>
    </row>
    <row r="56" spans="2:12">
      <c r="B56" s="155" t="s">
        <v>656</v>
      </c>
      <c r="C56" s="155" t="s">
        <v>31</v>
      </c>
      <c r="D56" s="156"/>
      <c r="E56" s="155" t="s">
        <v>128</v>
      </c>
      <c r="F56" s="155" t="s">
        <v>657</v>
      </c>
      <c r="G56" s="186">
        <v>45932</v>
      </c>
      <c r="H56" s="186">
        <v>45940</v>
      </c>
      <c r="I56" s="155">
        <f t="shared" si="5"/>
        <v>8</v>
      </c>
      <c r="J56" s="158">
        <v>28214</v>
      </c>
      <c r="K56" s="156" t="s">
        <v>798</v>
      </c>
      <c r="L56" s="155" t="s">
        <v>204</v>
      </c>
    </row>
    <row r="57" spans="2:12">
      <c r="B57" s="155" t="s">
        <v>656</v>
      </c>
      <c r="C57" s="155" t="s">
        <v>31</v>
      </c>
      <c r="D57" s="156"/>
      <c r="E57" s="155" t="s">
        <v>128</v>
      </c>
      <c r="F57" s="155" t="s">
        <v>658</v>
      </c>
      <c r="G57" s="186">
        <v>45932</v>
      </c>
      <c r="H57" s="186">
        <v>45943</v>
      </c>
      <c r="I57" s="155">
        <f t="shared" si="5"/>
        <v>11</v>
      </c>
      <c r="J57" s="158">
        <v>50000</v>
      </c>
      <c r="K57" s="156" t="s">
        <v>814</v>
      </c>
      <c r="L57" s="155" t="s">
        <v>204</v>
      </c>
    </row>
    <row r="58" spans="2:12">
      <c r="B58" s="155" t="s">
        <v>659</v>
      </c>
      <c r="C58" s="155" t="s">
        <v>31</v>
      </c>
      <c r="D58" s="156"/>
      <c r="E58" s="155" t="s">
        <v>128</v>
      </c>
      <c r="F58" s="155" t="s">
        <v>660</v>
      </c>
      <c r="G58" s="186">
        <v>45932</v>
      </c>
      <c r="H58" s="186">
        <v>45941</v>
      </c>
      <c r="I58" s="155">
        <f t="shared" si="5"/>
        <v>9</v>
      </c>
      <c r="J58" s="158">
        <v>41200</v>
      </c>
      <c r="K58" s="156" t="s">
        <v>814</v>
      </c>
      <c r="L58" s="155" t="s">
        <v>204</v>
      </c>
    </row>
    <row r="59" spans="2:12">
      <c r="B59" s="155" t="s">
        <v>556</v>
      </c>
      <c r="C59" s="155" t="s">
        <v>31</v>
      </c>
      <c r="D59" s="156"/>
      <c r="E59" s="155" t="s">
        <v>128</v>
      </c>
      <c r="F59" s="155" t="s">
        <v>661</v>
      </c>
      <c r="G59" s="186">
        <v>45932</v>
      </c>
      <c r="H59" s="186">
        <v>45940</v>
      </c>
      <c r="I59" s="155">
        <f t="shared" si="5"/>
        <v>8</v>
      </c>
      <c r="J59" s="158">
        <v>80000</v>
      </c>
      <c r="K59" s="156" t="s">
        <v>798</v>
      </c>
      <c r="L59" s="155" t="s">
        <v>204</v>
      </c>
    </row>
    <row r="60" spans="2:12">
      <c r="B60" s="155" t="s">
        <v>265</v>
      </c>
      <c r="C60" s="155" t="s">
        <v>432</v>
      </c>
      <c r="D60" s="156"/>
      <c r="E60" s="155" t="s">
        <v>390</v>
      </c>
      <c r="F60" s="155" t="s">
        <v>665</v>
      </c>
      <c r="G60" s="186">
        <v>45933</v>
      </c>
      <c r="H60" s="186">
        <v>45941</v>
      </c>
      <c r="I60" s="155">
        <f t="shared" si="5"/>
        <v>8</v>
      </c>
      <c r="J60" s="161">
        <v>15319</v>
      </c>
      <c r="K60" s="156" t="s">
        <v>814</v>
      </c>
      <c r="L60" s="155" t="s">
        <v>204</v>
      </c>
    </row>
    <row r="61" spans="2:12">
      <c r="B61" s="155" t="s">
        <v>667</v>
      </c>
      <c r="C61" s="155" t="s">
        <v>432</v>
      </c>
      <c r="D61" s="156"/>
      <c r="E61" s="155" t="s">
        <v>390</v>
      </c>
      <c r="F61" s="155" t="s">
        <v>666</v>
      </c>
      <c r="G61" s="186">
        <v>45933</v>
      </c>
      <c r="H61" s="186">
        <v>45940</v>
      </c>
      <c r="I61" s="155">
        <f t="shared" si="5"/>
        <v>7</v>
      </c>
      <c r="J61" s="161">
        <v>5456</v>
      </c>
      <c r="K61" s="156" t="s">
        <v>798</v>
      </c>
      <c r="L61" s="155" t="s">
        <v>204</v>
      </c>
    </row>
    <row r="62" spans="2:12">
      <c r="B62" s="155" t="s">
        <v>241</v>
      </c>
      <c r="C62" s="155" t="s">
        <v>48</v>
      </c>
      <c r="D62" s="156"/>
      <c r="E62" s="155" t="s">
        <v>26</v>
      </c>
      <c r="F62" s="155" t="s">
        <v>668</v>
      </c>
      <c r="G62" s="186">
        <v>45933</v>
      </c>
      <c r="H62" s="186">
        <v>45944</v>
      </c>
      <c r="I62" s="155">
        <f t="shared" ref="I62:I74" si="6">H62-G62</f>
        <v>11</v>
      </c>
      <c r="J62" s="158">
        <v>3625</v>
      </c>
      <c r="K62" s="156" t="s">
        <v>838</v>
      </c>
      <c r="L62" s="155" t="s">
        <v>204</v>
      </c>
    </row>
    <row r="63" spans="2:12">
      <c r="B63" s="155" t="s">
        <v>480</v>
      </c>
      <c r="C63" s="155" t="s">
        <v>48</v>
      </c>
      <c r="D63" s="156"/>
      <c r="E63" s="155" t="s">
        <v>26</v>
      </c>
      <c r="F63" s="155" t="s">
        <v>669</v>
      </c>
      <c r="G63" s="186">
        <v>45933</v>
      </c>
      <c r="H63" s="186">
        <v>45939</v>
      </c>
      <c r="I63" s="155">
        <f t="shared" si="6"/>
        <v>6</v>
      </c>
      <c r="J63" s="158">
        <v>6420</v>
      </c>
      <c r="K63" s="392">
        <v>45940</v>
      </c>
      <c r="L63" s="155" t="s">
        <v>204</v>
      </c>
    </row>
    <row r="64" spans="2:12">
      <c r="B64" s="155" t="s">
        <v>672</v>
      </c>
      <c r="C64" s="155" t="s">
        <v>63</v>
      </c>
      <c r="D64" s="156"/>
      <c r="E64" s="155" t="s">
        <v>64</v>
      </c>
      <c r="F64" s="155" t="s">
        <v>670</v>
      </c>
      <c r="G64" s="186">
        <v>45933</v>
      </c>
      <c r="H64" s="186">
        <v>45945</v>
      </c>
      <c r="I64" s="155">
        <f t="shared" si="6"/>
        <v>12</v>
      </c>
      <c r="J64" s="158">
        <v>18164</v>
      </c>
      <c r="K64" s="156" t="s">
        <v>838</v>
      </c>
      <c r="L64" s="155" t="s">
        <v>204</v>
      </c>
    </row>
    <row r="65" spans="2:13">
      <c r="B65" s="155" t="s">
        <v>673</v>
      </c>
      <c r="C65" s="155" t="s">
        <v>63</v>
      </c>
      <c r="D65" s="156"/>
      <c r="E65" s="155" t="s">
        <v>64</v>
      </c>
      <c r="F65" s="155" t="s">
        <v>671</v>
      </c>
      <c r="G65" s="186">
        <v>45933</v>
      </c>
      <c r="H65" s="186">
        <v>45940</v>
      </c>
      <c r="I65" s="155">
        <f t="shared" si="6"/>
        <v>7</v>
      </c>
      <c r="J65" s="158">
        <v>10000</v>
      </c>
      <c r="K65" s="156" t="s">
        <v>798</v>
      </c>
      <c r="L65" s="155" t="s">
        <v>204</v>
      </c>
    </row>
    <row r="66" spans="2:13">
      <c r="B66" s="155" t="s">
        <v>674</v>
      </c>
      <c r="C66" s="155" t="s">
        <v>31</v>
      </c>
      <c r="D66" s="156"/>
      <c r="E66" s="155" t="s">
        <v>128</v>
      </c>
      <c r="F66" s="155" t="s">
        <v>675</v>
      </c>
      <c r="G66" s="186">
        <v>45933</v>
      </c>
      <c r="H66" s="186">
        <v>45946</v>
      </c>
      <c r="I66" s="155">
        <f t="shared" si="6"/>
        <v>13</v>
      </c>
      <c r="J66" s="158">
        <v>71490</v>
      </c>
      <c r="K66" s="156" t="s">
        <v>910</v>
      </c>
      <c r="L66" s="155" t="s">
        <v>204</v>
      </c>
      <c r="M66" t="s">
        <v>676</v>
      </c>
    </row>
    <row r="67" spans="2:13">
      <c r="B67" s="155" t="s">
        <v>678</v>
      </c>
      <c r="C67" s="155" t="s">
        <v>31</v>
      </c>
      <c r="D67" s="156"/>
      <c r="E67" s="155" t="s">
        <v>128</v>
      </c>
      <c r="F67" s="155" t="s">
        <v>679</v>
      </c>
      <c r="G67" s="186">
        <v>45934</v>
      </c>
      <c r="H67" s="186">
        <v>45941</v>
      </c>
      <c r="I67" s="155">
        <f t="shared" si="6"/>
        <v>7</v>
      </c>
      <c r="J67" s="158">
        <v>38000</v>
      </c>
      <c r="K67" s="156" t="s">
        <v>814</v>
      </c>
      <c r="L67" s="155" t="s">
        <v>204</v>
      </c>
    </row>
    <row r="68" spans="2:13">
      <c r="B68" s="155" t="s">
        <v>179</v>
      </c>
      <c r="C68" s="155" t="s">
        <v>48</v>
      </c>
      <c r="D68" s="156"/>
      <c r="E68" s="155" t="s">
        <v>26</v>
      </c>
      <c r="F68" s="155" t="s">
        <v>680</v>
      </c>
      <c r="G68" s="186">
        <v>45934</v>
      </c>
      <c r="H68" s="186">
        <v>45942</v>
      </c>
      <c r="I68" s="155">
        <f t="shared" si="6"/>
        <v>8</v>
      </c>
      <c r="J68" s="161">
        <v>12676</v>
      </c>
      <c r="K68" s="156" t="s">
        <v>814</v>
      </c>
      <c r="L68" s="155" t="s">
        <v>204</v>
      </c>
    </row>
    <row r="69" spans="2:13">
      <c r="B69" s="155" t="s">
        <v>65</v>
      </c>
      <c r="C69" s="155" t="s">
        <v>48</v>
      </c>
      <c r="D69" s="156"/>
      <c r="E69" s="155" t="s">
        <v>26</v>
      </c>
      <c r="F69" s="155" t="s">
        <v>681</v>
      </c>
      <c r="G69" s="186">
        <v>45934</v>
      </c>
      <c r="H69" s="186">
        <v>45942</v>
      </c>
      <c r="I69" s="155">
        <f t="shared" si="6"/>
        <v>8</v>
      </c>
      <c r="J69" s="161">
        <v>5900</v>
      </c>
      <c r="K69" s="156" t="s">
        <v>814</v>
      </c>
      <c r="L69" s="155" t="s">
        <v>204</v>
      </c>
    </row>
    <row r="70" spans="2:13">
      <c r="B70" s="155" t="s">
        <v>39</v>
      </c>
      <c r="C70" s="155" t="s">
        <v>432</v>
      </c>
      <c r="D70" s="156"/>
      <c r="E70" s="155" t="s">
        <v>390</v>
      </c>
      <c r="F70" s="155" t="s">
        <v>685</v>
      </c>
      <c r="G70" s="186">
        <v>45934</v>
      </c>
      <c r="H70" s="186">
        <v>45944</v>
      </c>
      <c r="I70" s="155">
        <f t="shared" si="6"/>
        <v>10</v>
      </c>
      <c r="J70" s="158">
        <v>10604</v>
      </c>
      <c r="K70" s="156" t="s">
        <v>838</v>
      </c>
      <c r="L70" s="155" t="s">
        <v>204</v>
      </c>
    </row>
    <row r="71" spans="2:13">
      <c r="B71" s="155" t="s">
        <v>455</v>
      </c>
      <c r="C71" s="155" t="s">
        <v>63</v>
      </c>
      <c r="D71" s="156"/>
      <c r="E71" s="155" t="s">
        <v>64</v>
      </c>
      <c r="F71" s="155" t="s">
        <v>686</v>
      </c>
      <c r="G71" s="186">
        <v>45934</v>
      </c>
      <c r="H71" s="186">
        <v>45940</v>
      </c>
      <c r="I71" s="155">
        <f t="shared" si="6"/>
        <v>6</v>
      </c>
      <c r="J71" s="158">
        <v>3054</v>
      </c>
      <c r="K71" s="156" t="s">
        <v>798</v>
      </c>
      <c r="L71" s="155" t="s">
        <v>204</v>
      </c>
    </row>
    <row r="72" spans="2:13">
      <c r="B72" s="155" t="s">
        <v>688</v>
      </c>
      <c r="C72" s="155" t="s">
        <v>31</v>
      </c>
      <c r="D72" s="156"/>
      <c r="E72" s="155" t="s">
        <v>128</v>
      </c>
      <c r="F72" s="155" t="s">
        <v>687</v>
      </c>
      <c r="G72" s="186">
        <v>45934</v>
      </c>
      <c r="H72" s="186">
        <v>45941</v>
      </c>
      <c r="I72" s="155">
        <f t="shared" si="6"/>
        <v>7</v>
      </c>
      <c r="J72" s="158">
        <v>27952</v>
      </c>
      <c r="K72" s="156" t="s">
        <v>814</v>
      </c>
      <c r="L72" s="155" t="s">
        <v>204</v>
      </c>
    </row>
    <row r="73" spans="2:13">
      <c r="B73" s="155" t="s">
        <v>689</v>
      </c>
      <c r="C73" s="155" t="s">
        <v>31</v>
      </c>
      <c r="D73" s="156"/>
      <c r="E73" s="155" t="s">
        <v>128</v>
      </c>
      <c r="F73" s="155" t="s">
        <v>690</v>
      </c>
      <c r="G73" s="186">
        <v>45934</v>
      </c>
      <c r="H73" s="186">
        <v>45950</v>
      </c>
      <c r="I73" s="155">
        <f t="shared" si="6"/>
        <v>16</v>
      </c>
      <c r="J73" s="158">
        <v>96500</v>
      </c>
      <c r="K73" s="156" t="s">
        <v>948</v>
      </c>
      <c r="L73" s="155" t="s">
        <v>204</v>
      </c>
    </row>
    <row r="74" spans="2:13">
      <c r="B74" s="155" t="s">
        <v>691</v>
      </c>
      <c r="C74" s="155" t="s">
        <v>31</v>
      </c>
      <c r="D74" s="156"/>
      <c r="E74" s="155" t="s">
        <v>128</v>
      </c>
      <c r="F74" s="155" t="s">
        <v>692</v>
      </c>
      <c r="G74" s="186">
        <v>45934</v>
      </c>
      <c r="H74" s="186">
        <v>45954</v>
      </c>
      <c r="I74" s="155">
        <f t="shared" si="6"/>
        <v>20</v>
      </c>
      <c r="J74" s="158">
        <v>35000</v>
      </c>
      <c r="K74" s="156" t="s">
        <v>1032</v>
      </c>
      <c r="L74" s="155" t="s">
        <v>204</v>
      </c>
    </row>
    <row r="75" spans="2:13">
      <c r="B75" s="155" t="s">
        <v>465</v>
      </c>
      <c r="C75" s="155" t="s">
        <v>432</v>
      </c>
      <c r="D75" s="156"/>
      <c r="E75" s="155" t="s">
        <v>390</v>
      </c>
      <c r="F75" s="155" t="s">
        <v>703</v>
      </c>
      <c r="G75" s="186">
        <v>45936</v>
      </c>
      <c r="H75" s="186">
        <v>45940</v>
      </c>
      <c r="I75" s="155">
        <f t="shared" ref="I75:I85" si="7">H75-G75</f>
        <v>4</v>
      </c>
      <c r="J75" s="158">
        <v>6650</v>
      </c>
      <c r="K75" s="156" t="s">
        <v>798</v>
      </c>
      <c r="L75" s="155" t="s">
        <v>204</v>
      </c>
    </row>
    <row r="76" spans="2:13">
      <c r="B76" s="155" t="s">
        <v>178</v>
      </c>
      <c r="C76" s="155" t="s">
        <v>63</v>
      </c>
      <c r="D76" s="156"/>
      <c r="E76" s="155" t="s">
        <v>64</v>
      </c>
      <c r="F76" s="155" t="s">
        <v>704</v>
      </c>
      <c r="G76" s="186">
        <v>45936</v>
      </c>
      <c r="H76" s="186">
        <v>45943</v>
      </c>
      <c r="I76" s="155">
        <f t="shared" si="7"/>
        <v>7</v>
      </c>
      <c r="J76" s="158">
        <v>6813</v>
      </c>
      <c r="K76" s="156" t="s">
        <v>814</v>
      </c>
      <c r="L76" s="155" t="s">
        <v>204</v>
      </c>
    </row>
    <row r="77" spans="2:13">
      <c r="B77" s="155" t="s">
        <v>345</v>
      </c>
      <c r="C77" s="155" t="s">
        <v>48</v>
      </c>
      <c r="D77" s="156"/>
      <c r="E77" s="155" t="s">
        <v>26</v>
      </c>
      <c r="F77" s="155" t="s">
        <v>705</v>
      </c>
      <c r="G77" s="186">
        <v>45936</v>
      </c>
      <c r="H77" s="186">
        <v>45941</v>
      </c>
      <c r="I77" s="155">
        <f t="shared" si="7"/>
        <v>5</v>
      </c>
      <c r="J77" s="161">
        <v>5405</v>
      </c>
      <c r="K77" s="156" t="s">
        <v>814</v>
      </c>
      <c r="L77" s="155" t="s">
        <v>204</v>
      </c>
    </row>
    <row r="78" spans="2:13">
      <c r="B78" s="155" t="s">
        <v>166</v>
      </c>
      <c r="C78" s="155" t="s">
        <v>48</v>
      </c>
      <c r="D78" s="156"/>
      <c r="E78" s="155" t="s">
        <v>26</v>
      </c>
      <c r="F78" s="155" t="s">
        <v>706</v>
      </c>
      <c r="G78" s="186">
        <v>45936</v>
      </c>
      <c r="H78" s="186">
        <v>45943</v>
      </c>
      <c r="I78" s="155">
        <f t="shared" si="7"/>
        <v>7</v>
      </c>
      <c r="J78" s="161">
        <v>4800</v>
      </c>
      <c r="K78" s="156" t="s">
        <v>814</v>
      </c>
      <c r="L78" s="155" t="s">
        <v>204</v>
      </c>
    </row>
    <row r="79" spans="2:13">
      <c r="B79" s="155" t="s">
        <v>310</v>
      </c>
      <c r="C79" s="155" t="s">
        <v>48</v>
      </c>
      <c r="D79" s="156"/>
      <c r="E79" s="155" t="s">
        <v>26</v>
      </c>
      <c r="F79" s="155" t="s">
        <v>707</v>
      </c>
      <c r="G79" s="186">
        <v>45936</v>
      </c>
      <c r="H79" s="186">
        <v>45944</v>
      </c>
      <c r="I79" s="155">
        <f t="shared" si="7"/>
        <v>8</v>
      </c>
      <c r="J79" s="161">
        <v>8950</v>
      </c>
      <c r="K79" s="156" t="s">
        <v>838</v>
      </c>
      <c r="L79" s="155" t="s">
        <v>204</v>
      </c>
    </row>
    <row r="80" spans="2:13">
      <c r="B80" s="155" t="s">
        <v>237</v>
      </c>
      <c r="C80" s="155" t="s">
        <v>48</v>
      </c>
      <c r="D80" s="156"/>
      <c r="E80" s="155" t="s">
        <v>26</v>
      </c>
      <c r="F80" s="155" t="s">
        <v>708</v>
      </c>
      <c r="G80" s="186">
        <v>45936</v>
      </c>
      <c r="H80" s="186">
        <v>45946</v>
      </c>
      <c r="I80" s="155">
        <f t="shared" si="7"/>
        <v>10</v>
      </c>
      <c r="J80" s="161">
        <v>12295</v>
      </c>
      <c r="K80" s="156" t="s">
        <v>892</v>
      </c>
      <c r="L80" s="155" t="s">
        <v>204</v>
      </c>
    </row>
    <row r="81" spans="2:12">
      <c r="B81" s="155" t="s">
        <v>557</v>
      </c>
      <c r="C81" s="155" t="s">
        <v>56</v>
      </c>
      <c r="D81" s="156"/>
      <c r="E81" s="155" t="s">
        <v>31</v>
      </c>
      <c r="F81" s="155" t="s">
        <v>709</v>
      </c>
      <c r="G81" s="186">
        <v>45936</v>
      </c>
      <c r="H81" s="186">
        <v>45944</v>
      </c>
      <c r="I81" s="155">
        <f t="shared" si="7"/>
        <v>8</v>
      </c>
      <c r="J81" s="158">
        <v>5000</v>
      </c>
      <c r="K81" s="156" t="s">
        <v>1002</v>
      </c>
      <c r="L81" s="155" t="s">
        <v>204</v>
      </c>
    </row>
    <row r="82" spans="2:12">
      <c r="B82" s="155" t="s">
        <v>167</v>
      </c>
      <c r="C82" s="155" t="s">
        <v>56</v>
      </c>
      <c r="D82" s="156"/>
      <c r="E82" s="155" t="s">
        <v>31</v>
      </c>
      <c r="F82" s="155" t="s">
        <v>710</v>
      </c>
      <c r="G82" s="186">
        <v>45936</v>
      </c>
      <c r="H82" s="186">
        <v>45944</v>
      </c>
      <c r="I82" s="155">
        <f t="shared" si="7"/>
        <v>8</v>
      </c>
      <c r="J82" s="158">
        <v>7845</v>
      </c>
      <c r="K82" s="156" t="s">
        <v>838</v>
      </c>
      <c r="L82" s="155" t="s">
        <v>204</v>
      </c>
    </row>
    <row r="83" spans="2:12">
      <c r="B83" s="155" t="s">
        <v>712</v>
      </c>
      <c r="C83" s="155" t="s">
        <v>31</v>
      </c>
      <c r="D83" s="156"/>
      <c r="E83" s="155" t="s">
        <v>128</v>
      </c>
      <c r="F83" s="155" t="s">
        <v>713</v>
      </c>
      <c r="G83" s="186">
        <v>45936</v>
      </c>
      <c r="H83" s="186">
        <v>45950</v>
      </c>
      <c r="I83" s="155">
        <f t="shared" si="7"/>
        <v>14</v>
      </c>
      <c r="J83" s="161">
        <v>58840</v>
      </c>
      <c r="K83" s="156" t="s">
        <v>948</v>
      </c>
      <c r="L83" s="155" t="s">
        <v>204</v>
      </c>
    </row>
    <row r="84" spans="2:12">
      <c r="B84" s="155" t="s">
        <v>109</v>
      </c>
      <c r="C84" s="155" t="s">
        <v>31</v>
      </c>
      <c r="D84" s="156"/>
      <c r="E84" s="155" t="s">
        <v>128</v>
      </c>
      <c r="F84" s="155" t="s">
        <v>714</v>
      </c>
      <c r="G84" s="186">
        <v>45936</v>
      </c>
      <c r="H84" s="186">
        <v>45946</v>
      </c>
      <c r="I84" s="155">
        <f t="shared" si="7"/>
        <v>10</v>
      </c>
      <c r="J84" s="161">
        <v>12642</v>
      </c>
      <c r="K84" s="156" t="s">
        <v>892</v>
      </c>
      <c r="L84" s="155" t="s">
        <v>204</v>
      </c>
    </row>
    <row r="85" spans="2:12">
      <c r="B85" s="155" t="s">
        <v>203</v>
      </c>
      <c r="C85" s="155" t="s">
        <v>63</v>
      </c>
      <c r="D85" s="156"/>
      <c r="E85" s="155" t="s">
        <v>413</v>
      </c>
      <c r="F85" s="155" t="s">
        <v>716</v>
      </c>
      <c r="G85" s="186">
        <v>45937</v>
      </c>
      <c r="H85" s="186">
        <v>45947</v>
      </c>
      <c r="I85" s="155">
        <f t="shared" si="7"/>
        <v>10</v>
      </c>
      <c r="J85" s="158">
        <v>7250</v>
      </c>
      <c r="K85" s="156" t="s">
        <v>910</v>
      </c>
      <c r="L85" s="155" t="s">
        <v>204</v>
      </c>
    </row>
    <row r="86" spans="2:12">
      <c r="B86" s="155" t="s">
        <v>426</v>
      </c>
      <c r="C86" s="155" t="s">
        <v>63</v>
      </c>
      <c r="D86" s="156"/>
      <c r="E86" s="155" t="s">
        <v>413</v>
      </c>
      <c r="F86" s="155" t="s">
        <v>717</v>
      </c>
      <c r="G86" s="186">
        <v>45937</v>
      </c>
      <c r="H86" s="186">
        <v>45947</v>
      </c>
      <c r="I86" s="155">
        <f t="shared" ref="I86:I107" si="8">H86-G86</f>
        <v>10</v>
      </c>
      <c r="J86" s="158">
        <v>6970</v>
      </c>
      <c r="K86" s="156" t="s">
        <v>910</v>
      </c>
      <c r="L86" s="155" t="s">
        <v>204</v>
      </c>
    </row>
    <row r="87" spans="2:12">
      <c r="B87" s="155" t="s">
        <v>425</v>
      </c>
      <c r="C87" s="155" t="s">
        <v>48</v>
      </c>
      <c r="D87" s="156"/>
      <c r="E87" s="155" t="s">
        <v>26</v>
      </c>
      <c r="F87" s="155" t="s">
        <v>718</v>
      </c>
      <c r="G87" s="186">
        <v>45937</v>
      </c>
      <c r="H87" s="186">
        <v>45943</v>
      </c>
      <c r="I87" s="155">
        <f t="shared" si="8"/>
        <v>6</v>
      </c>
      <c r="J87" s="161">
        <v>6505</v>
      </c>
      <c r="K87" s="156" t="s">
        <v>814</v>
      </c>
      <c r="L87" s="155" t="s">
        <v>204</v>
      </c>
    </row>
    <row r="88" spans="2:12">
      <c r="B88" s="155" t="s">
        <v>439</v>
      </c>
      <c r="C88" s="155" t="s">
        <v>56</v>
      </c>
      <c r="D88" s="156"/>
      <c r="E88" s="155" t="s">
        <v>31</v>
      </c>
      <c r="F88" s="155" t="s">
        <v>719</v>
      </c>
      <c r="G88" s="186">
        <v>45937</v>
      </c>
      <c r="H88" s="186">
        <v>45944</v>
      </c>
      <c r="I88" s="155">
        <f t="shared" si="8"/>
        <v>7</v>
      </c>
      <c r="J88" s="158">
        <v>4570</v>
      </c>
      <c r="K88" s="156" t="s">
        <v>838</v>
      </c>
      <c r="L88" s="155" t="s">
        <v>204</v>
      </c>
    </row>
    <row r="89" spans="2:12">
      <c r="B89" s="155" t="s">
        <v>173</v>
      </c>
      <c r="C89" s="155" t="s">
        <v>432</v>
      </c>
      <c r="D89" s="156"/>
      <c r="E89" s="155" t="s">
        <v>390</v>
      </c>
      <c r="F89" s="155" t="s">
        <v>912</v>
      </c>
      <c r="G89" s="186">
        <v>45937</v>
      </c>
      <c r="H89" s="186">
        <v>45947</v>
      </c>
      <c r="I89" s="155">
        <f t="shared" si="8"/>
        <v>10</v>
      </c>
      <c r="J89" s="158">
        <v>8344</v>
      </c>
      <c r="K89" s="156" t="s">
        <v>910</v>
      </c>
      <c r="L89" s="155" t="s">
        <v>204</v>
      </c>
    </row>
    <row r="90" spans="2:12">
      <c r="B90" s="155" t="s">
        <v>298</v>
      </c>
      <c r="C90" s="155" t="s">
        <v>56</v>
      </c>
      <c r="D90" s="156"/>
      <c r="E90" s="155" t="s">
        <v>31</v>
      </c>
      <c r="F90" s="155" t="s">
        <v>723</v>
      </c>
      <c r="G90" s="186">
        <v>45937</v>
      </c>
      <c r="H90" s="186">
        <v>45944</v>
      </c>
      <c r="I90" s="155">
        <f>H90-G90</f>
        <v>7</v>
      </c>
      <c r="J90" s="161">
        <v>3483</v>
      </c>
      <c r="K90" s="156" t="s">
        <v>838</v>
      </c>
      <c r="L90" s="155" t="s">
        <v>204</v>
      </c>
    </row>
    <row r="91" spans="2:12">
      <c r="B91" s="155" t="s">
        <v>728</v>
      </c>
      <c r="C91" s="155" t="s">
        <v>56</v>
      </c>
      <c r="D91" s="156"/>
      <c r="E91" s="155" t="s">
        <v>31</v>
      </c>
      <c r="F91" s="155" t="s">
        <v>724</v>
      </c>
      <c r="G91" s="186">
        <v>45937</v>
      </c>
      <c r="H91" s="186">
        <v>45948</v>
      </c>
      <c r="I91" s="155">
        <f>H91-G91</f>
        <v>11</v>
      </c>
      <c r="J91" s="161">
        <v>10100</v>
      </c>
      <c r="K91" s="156" t="s">
        <v>948</v>
      </c>
      <c r="L91" s="155" t="s">
        <v>204</v>
      </c>
    </row>
    <row r="92" spans="2:12">
      <c r="B92" s="155" t="s">
        <v>727</v>
      </c>
      <c r="C92" s="155" t="s">
        <v>56</v>
      </c>
      <c r="D92" s="156"/>
      <c r="E92" s="155" t="s">
        <v>31</v>
      </c>
      <c r="F92" s="155" t="s">
        <v>725</v>
      </c>
      <c r="G92" s="186">
        <v>45937</v>
      </c>
      <c r="H92" s="186">
        <v>45944</v>
      </c>
      <c r="I92" s="155">
        <f>H92-G92</f>
        <v>7</v>
      </c>
      <c r="J92" s="161">
        <v>11210</v>
      </c>
      <c r="K92" s="156" t="s">
        <v>838</v>
      </c>
      <c r="L92" s="155" t="s">
        <v>204</v>
      </c>
    </row>
    <row r="93" spans="2:12">
      <c r="B93" s="155" t="s">
        <v>480</v>
      </c>
      <c r="C93" s="155" t="s">
        <v>56</v>
      </c>
      <c r="D93" s="156"/>
      <c r="E93" s="155" t="s">
        <v>31</v>
      </c>
      <c r="F93" s="155" t="s">
        <v>726</v>
      </c>
      <c r="G93" s="186">
        <v>45937</v>
      </c>
      <c r="H93" s="186">
        <v>45943</v>
      </c>
      <c r="I93" s="155">
        <f>H93-G93</f>
        <v>6</v>
      </c>
      <c r="J93" s="161">
        <v>6317</v>
      </c>
      <c r="K93" s="156" t="s">
        <v>814</v>
      </c>
      <c r="L93" s="155" t="s">
        <v>204</v>
      </c>
    </row>
    <row r="94" spans="2:12">
      <c r="B94" s="155" t="s">
        <v>485</v>
      </c>
      <c r="C94" s="155" t="s">
        <v>63</v>
      </c>
      <c r="D94" s="156"/>
      <c r="E94" s="155" t="s">
        <v>413</v>
      </c>
      <c r="F94" s="155" t="s">
        <v>733</v>
      </c>
      <c r="G94" s="186">
        <v>45938</v>
      </c>
      <c r="H94" s="186">
        <v>45947</v>
      </c>
      <c r="I94" s="155">
        <f t="shared" si="8"/>
        <v>9</v>
      </c>
      <c r="J94" s="161">
        <v>13044</v>
      </c>
      <c r="K94" s="392">
        <v>45727</v>
      </c>
      <c r="L94" s="155" t="s">
        <v>204</v>
      </c>
    </row>
    <row r="95" spans="2:12">
      <c r="B95" s="155" t="s">
        <v>736</v>
      </c>
      <c r="C95" s="155" t="s">
        <v>63</v>
      </c>
      <c r="D95" s="156"/>
      <c r="E95" s="155" t="s">
        <v>413</v>
      </c>
      <c r="F95" s="155" t="s">
        <v>734</v>
      </c>
      <c r="G95" s="186">
        <v>45938</v>
      </c>
      <c r="H95" s="186">
        <v>45948</v>
      </c>
      <c r="I95" s="155">
        <f t="shared" si="8"/>
        <v>10</v>
      </c>
      <c r="J95" s="161">
        <v>5600</v>
      </c>
      <c r="K95" s="156" t="s">
        <v>948</v>
      </c>
      <c r="L95" s="155" t="s">
        <v>204</v>
      </c>
    </row>
    <row r="96" spans="2:12">
      <c r="B96" s="155" t="s">
        <v>39</v>
      </c>
      <c r="C96" s="155" t="s">
        <v>63</v>
      </c>
      <c r="D96" s="156"/>
      <c r="E96" s="155" t="s">
        <v>413</v>
      </c>
      <c r="F96" s="155" t="s">
        <v>735</v>
      </c>
      <c r="G96" s="186">
        <v>45938</v>
      </c>
      <c r="H96" s="186">
        <v>45946</v>
      </c>
      <c r="I96" s="155">
        <f t="shared" si="8"/>
        <v>8</v>
      </c>
      <c r="J96" s="161">
        <v>5903</v>
      </c>
      <c r="K96" s="156" t="s">
        <v>892</v>
      </c>
      <c r="L96" s="155" t="s">
        <v>204</v>
      </c>
    </row>
    <row r="97" spans="2:12">
      <c r="B97" s="155" t="s">
        <v>553</v>
      </c>
      <c r="C97" s="155" t="s">
        <v>432</v>
      </c>
      <c r="D97" s="156"/>
      <c r="E97" s="155" t="s">
        <v>390</v>
      </c>
      <c r="F97" s="155" t="s">
        <v>737</v>
      </c>
      <c r="G97" s="186">
        <v>45938</v>
      </c>
      <c r="H97" s="186">
        <v>45945</v>
      </c>
      <c r="I97" s="155">
        <f t="shared" si="8"/>
        <v>7</v>
      </c>
      <c r="J97" s="158">
        <v>3041</v>
      </c>
      <c r="K97" s="156" t="s">
        <v>874</v>
      </c>
      <c r="L97" s="155" t="s">
        <v>204</v>
      </c>
    </row>
    <row r="98" spans="2:12">
      <c r="B98" s="155" t="s">
        <v>740</v>
      </c>
      <c r="C98" s="155" t="s">
        <v>56</v>
      </c>
      <c r="D98" s="156"/>
      <c r="E98" s="155" t="s">
        <v>31</v>
      </c>
      <c r="F98" s="155" t="s">
        <v>741</v>
      </c>
      <c r="G98" s="186">
        <v>45938</v>
      </c>
      <c r="H98" s="186">
        <v>45945</v>
      </c>
      <c r="I98" s="155">
        <f t="shared" si="8"/>
        <v>7</v>
      </c>
      <c r="J98" s="158">
        <v>5400</v>
      </c>
      <c r="K98" s="156" t="s">
        <v>874</v>
      </c>
      <c r="L98" s="155" t="s">
        <v>204</v>
      </c>
    </row>
    <row r="99" spans="2:12">
      <c r="B99" s="155" t="s">
        <v>65</v>
      </c>
      <c r="C99" s="155" t="s">
        <v>56</v>
      </c>
      <c r="D99" s="156"/>
      <c r="E99" s="155" t="s">
        <v>31</v>
      </c>
      <c r="F99" s="155" t="s">
        <v>742</v>
      </c>
      <c r="G99" s="186">
        <v>45938</v>
      </c>
      <c r="H99" s="186">
        <v>45945</v>
      </c>
      <c r="I99" s="155">
        <f t="shared" si="8"/>
        <v>7</v>
      </c>
      <c r="J99" s="158">
        <v>10640</v>
      </c>
      <c r="K99" s="156" t="s">
        <v>874</v>
      </c>
      <c r="L99" s="155" t="s">
        <v>204</v>
      </c>
    </row>
    <row r="100" spans="2:12">
      <c r="B100" s="155" t="s">
        <v>179</v>
      </c>
      <c r="C100" s="155" t="s">
        <v>56</v>
      </c>
      <c r="D100" s="156"/>
      <c r="E100" s="155" t="s">
        <v>31</v>
      </c>
      <c r="F100" s="155" t="s">
        <v>743</v>
      </c>
      <c r="G100" s="186">
        <v>45938</v>
      </c>
      <c r="H100" s="186">
        <v>45948</v>
      </c>
      <c r="I100" s="155">
        <f t="shared" si="8"/>
        <v>10</v>
      </c>
      <c r="J100" s="158">
        <v>11412</v>
      </c>
      <c r="K100" s="156" t="s">
        <v>948</v>
      </c>
      <c r="L100" s="155" t="s">
        <v>204</v>
      </c>
    </row>
    <row r="101" spans="2:12">
      <c r="B101" s="155" t="s">
        <v>178</v>
      </c>
      <c r="C101" s="155" t="s">
        <v>432</v>
      </c>
      <c r="D101" s="156"/>
      <c r="E101" s="155" t="s">
        <v>390</v>
      </c>
      <c r="F101" s="155" t="s">
        <v>747</v>
      </c>
      <c r="G101" s="186">
        <v>45939</v>
      </c>
      <c r="H101" s="186">
        <v>45947</v>
      </c>
      <c r="I101" s="155">
        <f t="shared" si="8"/>
        <v>8</v>
      </c>
      <c r="J101" s="155">
        <v>6000</v>
      </c>
      <c r="K101" s="156" t="s">
        <v>910</v>
      </c>
      <c r="L101" s="155" t="s">
        <v>204</v>
      </c>
    </row>
    <row r="102" spans="2:12">
      <c r="B102" s="155" t="s">
        <v>749</v>
      </c>
      <c r="C102" s="155" t="s">
        <v>432</v>
      </c>
      <c r="D102" s="156"/>
      <c r="E102" s="155" t="s">
        <v>390</v>
      </c>
      <c r="F102" s="155" t="s">
        <v>746</v>
      </c>
      <c r="G102" s="186">
        <v>45939</v>
      </c>
      <c r="H102" s="186">
        <v>45947</v>
      </c>
      <c r="I102" s="155">
        <f t="shared" si="8"/>
        <v>8</v>
      </c>
      <c r="J102" s="158">
        <v>3050</v>
      </c>
      <c r="K102" s="156" t="s">
        <v>910</v>
      </c>
      <c r="L102" s="155" t="s">
        <v>204</v>
      </c>
    </row>
    <row r="103" spans="2:12">
      <c r="B103" s="155" t="s">
        <v>485</v>
      </c>
      <c r="C103" s="155" t="s">
        <v>63</v>
      </c>
      <c r="D103" s="156"/>
      <c r="E103" s="155" t="s">
        <v>64</v>
      </c>
      <c r="F103" s="155" t="s">
        <v>748</v>
      </c>
      <c r="G103" s="186">
        <v>45939</v>
      </c>
      <c r="H103" s="186">
        <v>45947</v>
      </c>
      <c r="I103" s="155">
        <f t="shared" si="8"/>
        <v>8</v>
      </c>
      <c r="J103" s="158">
        <v>4937</v>
      </c>
      <c r="K103" s="156" t="s">
        <v>910</v>
      </c>
      <c r="L103" s="155" t="s">
        <v>204</v>
      </c>
    </row>
    <row r="104" spans="2:12">
      <c r="B104" s="155" t="s">
        <v>167</v>
      </c>
      <c r="C104" s="155" t="s">
        <v>48</v>
      </c>
      <c r="D104" s="156"/>
      <c r="E104" s="155" t="s">
        <v>26</v>
      </c>
      <c r="F104" s="155" t="s">
        <v>750</v>
      </c>
      <c r="G104" s="186">
        <v>45939</v>
      </c>
      <c r="H104" s="186">
        <v>45947</v>
      </c>
      <c r="I104" s="155">
        <f t="shared" si="8"/>
        <v>8</v>
      </c>
      <c r="J104" s="161">
        <v>13123</v>
      </c>
      <c r="K104" s="156" t="s">
        <v>910</v>
      </c>
      <c r="L104" s="155" t="s">
        <v>204</v>
      </c>
    </row>
    <row r="105" spans="2:12">
      <c r="B105" s="155" t="s">
        <v>439</v>
      </c>
      <c r="C105" s="155" t="s">
        <v>48</v>
      </c>
      <c r="D105" s="156"/>
      <c r="E105" s="155" t="s">
        <v>26</v>
      </c>
      <c r="F105" s="155" t="s">
        <v>751</v>
      </c>
      <c r="G105" s="186">
        <v>45939</v>
      </c>
      <c r="H105" s="186">
        <v>45945</v>
      </c>
      <c r="I105" s="155">
        <f t="shared" si="8"/>
        <v>6</v>
      </c>
      <c r="J105" s="161">
        <v>3300</v>
      </c>
      <c r="K105" s="156" t="s">
        <v>874</v>
      </c>
      <c r="L105" s="155" t="s">
        <v>204</v>
      </c>
    </row>
    <row r="106" spans="2:12">
      <c r="B106" s="155" t="s">
        <v>237</v>
      </c>
      <c r="C106" s="155" t="s">
        <v>56</v>
      </c>
      <c r="D106" s="156"/>
      <c r="E106" s="155" t="s">
        <v>31</v>
      </c>
      <c r="F106" s="155" t="s">
        <v>949</v>
      </c>
      <c r="G106" s="186">
        <v>45939</v>
      </c>
      <c r="H106" s="186">
        <v>45949</v>
      </c>
      <c r="I106" s="155">
        <f t="shared" si="8"/>
        <v>10</v>
      </c>
      <c r="J106" s="161">
        <v>5940</v>
      </c>
      <c r="K106" s="156" t="s">
        <v>948</v>
      </c>
      <c r="L106" s="155" t="s">
        <v>204</v>
      </c>
    </row>
    <row r="107" spans="2:12">
      <c r="B107" s="155" t="s">
        <v>754</v>
      </c>
      <c r="C107" s="155" t="s">
        <v>56</v>
      </c>
      <c r="D107" s="156"/>
      <c r="E107" s="155" t="s">
        <v>31</v>
      </c>
      <c r="F107" s="155" t="s">
        <v>752</v>
      </c>
      <c r="G107" s="186">
        <v>45939</v>
      </c>
      <c r="H107" s="186">
        <v>45948</v>
      </c>
      <c r="I107" s="155">
        <f t="shared" si="8"/>
        <v>9</v>
      </c>
      <c r="J107" s="161">
        <v>8760</v>
      </c>
      <c r="K107" s="156" t="s">
        <v>910</v>
      </c>
      <c r="L107" s="155" t="s">
        <v>204</v>
      </c>
    </row>
    <row r="108" spans="2:12">
      <c r="B108" s="155" t="s">
        <v>310</v>
      </c>
      <c r="C108" s="155" t="s">
        <v>56</v>
      </c>
      <c r="D108" s="156"/>
      <c r="E108" s="155" t="s">
        <v>31</v>
      </c>
      <c r="F108" s="155" t="s">
        <v>753</v>
      </c>
      <c r="G108" s="186">
        <v>45939</v>
      </c>
      <c r="H108" s="186">
        <v>45946</v>
      </c>
      <c r="I108" s="155">
        <f t="shared" ref="I108:I151" si="9">H108-G108</f>
        <v>7</v>
      </c>
      <c r="J108" s="161">
        <v>6500</v>
      </c>
      <c r="K108" s="156" t="s">
        <v>892</v>
      </c>
      <c r="L108" s="155" t="s">
        <v>204</v>
      </c>
    </row>
    <row r="109" spans="2:12">
      <c r="B109" s="155" t="s">
        <v>214</v>
      </c>
      <c r="C109" s="155" t="s">
        <v>31</v>
      </c>
      <c r="D109" s="156"/>
      <c r="E109" s="155" t="s">
        <v>128</v>
      </c>
      <c r="F109" s="155" t="s">
        <v>756</v>
      </c>
      <c r="G109" s="186">
        <v>45939</v>
      </c>
      <c r="H109" s="186">
        <v>45956</v>
      </c>
      <c r="I109" s="155">
        <f t="shared" si="9"/>
        <v>17</v>
      </c>
      <c r="J109" s="161">
        <v>31000</v>
      </c>
      <c r="K109" s="156" t="s">
        <v>1046</v>
      </c>
      <c r="L109" s="155" t="s">
        <v>204</v>
      </c>
    </row>
    <row r="110" spans="2:12">
      <c r="B110" s="155" t="s">
        <v>214</v>
      </c>
      <c r="C110" s="155" t="s">
        <v>31</v>
      </c>
      <c r="D110" s="156"/>
      <c r="E110" s="155" t="s">
        <v>128</v>
      </c>
      <c r="F110" s="155" t="s">
        <v>757</v>
      </c>
      <c r="G110" s="186">
        <v>45939</v>
      </c>
      <c r="H110" s="186">
        <v>45953</v>
      </c>
      <c r="I110" s="155">
        <f t="shared" si="9"/>
        <v>14</v>
      </c>
      <c r="J110" s="161">
        <v>25000</v>
      </c>
      <c r="K110" s="156" t="s">
        <v>1002</v>
      </c>
      <c r="L110" s="155" t="s">
        <v>204</v>
      </c>
    </row>
    <row r="111" spans="2:12">
      <c r="B111" s="155" t="s">
        <v>214</v>
      </c>
      <c r="C111" s="155" t="s">
        <v>31</v>
      </c>
      <c r="D111" s="156"/>
      <c r="E111" s="155" t="s">
        <v>128</v>
      </c>
      <c r="F111" s="155" t="s">
        <v>758</v>
      </c>
      <c r="G111" s="186">
        <v>45939</v>
      </c>
      <c r="H111" s="186">
        <v>45951</v>
      </c>
      <c r="I111" s="155">
        <f t="shared" si="9"/>
        <v>12</v>
      </c>
      <c r="J111" s="161">
        <v>25000</v>
      </c>
      <c r="K111" s="156" t="s">
        <v>1086</v>
      </c>
      <c r="L111" s="155" t="s">
        <v>204</v>
      </c>
    </row>
    <row r="112" spans="2:12">
      <c r="B112" s="155" t="s">
        <v>214</v>
      </c>
      <c r="C112" s="155" t="s">
        <v>31</v>
      </c>
      <c r="D112" s="156"/>
      <c r="E112" s="155" t="s">
        <v>128</v>
      </c>
      <c r="F112" s="155" t="s">
        <v>759</v>
      </c>
      <c r="G112" s="186">
        <v>45939</v>
      </c>
      <c r="H112" s="186">
        <v>45947</v>
      </c>
      <c r="I112" s="155">
        <f t="shared" si="9"/>
        <v>8</v>
      </c>
      <c r="J112" s="161">
        <v>25700</v>
      </c>
      <c r="K112" s="156" t="s">
        <v>910</v>
      </c>
      <c r="L112" s="155" t="s">
        <v>204</v>
      </c>
    </row>
    <row r="113" spans="2:12">
      <c r="B113" s="155" t="s">
        <v>30</v>
      </c>
      <c r="C113" s="155" t="s">
        <v>31</v>
      </c>
      <c r="D113" s="156"/>
      <c r="E113" s="155" t="s">
        <v>128</v>
      </c>
      <c r="F113" s="155" t="s">
        <v>760</v>
      </c>
      <c r="G113" s="186">
        <v>45939</v>
      </c>
      <c r="H113" s="186">
        <v>45954</v>
      </c>
      <c r="I113" s="155">
        <f t="shared" si="9"/>
        <v>15</v>
      </c>
      <c r="J113" s="161">
        <v>56808</v>
      </c>
      <c r="K113" s="156" t="s">
        <v>1032</v>
      </c>
      <c r="L113" s="155" t="s">
        <v>204</v>
      </c>
    </row>
    <row r="114" spans="2:12">
      <c r="B114" s="155" t="s">
        <v>761</v>
      </c>
      <c r="C114" s="155" t="s">
        <v>31</v>
      </c>
      <c r="D114" s="156"/>
      <c r="E114" s="155" t="s">
        <v>128</v>
      </c>
      <c r="F114" s="155" t="s">
        <v>762</v>
      </c>
      <c r="G114" s="186">
        <v>45939</v>
      </c>
      <c r="H114" s="186">
        <v>45952</v>
      </c>
      <c r="I114" s="155">
        <f t="shared" si="9"/>
        <v>13</v>
      </c>
      <c r="J114" s="158">
        <v>60820</v>
      </c>
      <c r="K114" s="156" t="s">
        <v>967</v>
      </c>
      <c r="L114" s="155" t="s">
        <v>204</v>
      </c>
    </row>
    <row r="115" spans="2:12">
      <c r="B115" s="155" t="s">
        <v>761</v>
      </c>
      <c r="C115" s="155" t="s">
        <v>31</v>
      </c>
      <c r="D115" s="156"/>
      <c r="E115" s="155" t="s">
        <v>128</v>
      </c>
      <c r="F115" s="155" t="s">
        <v>763</v>
      </c>
      <c r="G115" s="186">
        <v>45939</v>
      </c>
      <c r="H115" s="186">
        <v>45947</v>
      </c>
      <c r="I115" s="155">
        <f t="shared" si="9"/>
        <v>8</v>
      </c>
      <c r="J115" s="158">
        <v>55000</v>
      </c>
      <c r="K115" s="156" t="s">
        <v>910</v>
      </c>
      <c r="L115" s="155" t="s">
        <v>204</v>
      </c>
    </row>
    <row r="116" spans="2:12">
      <c r="B116" s="155" t="s">
        <v>312</v>
      </c>
      <c r="C116" s="155" t="s">
        <v>31</v>
      </c>
      <c r="D116" s="156"/>
      <c r="E116" s="155" t="s">
        <v>128</v>
      </c>
      <c r="F116" s="155" t="s">
        <v>764</v>
      </c>
      <c r="G116" s="186">
        <v>45939</v>
      </c>
      <c r="H116" s="186">
        <v>45955</v>
      </c>
      <c r="I116" s="155">
        <f t="shared" si="9"/>
        <v>16</v>
      </c>
      <c r="J116" s="158">
        <v>29524</v>
      </c>
      <c r="K116" s="156" t="s">
        <v>1075</v>
      </c>
      <c r="L116" s="155" t="s">
        <v>204</v>
      </c>
    </row>
    <row r="117" spans="2:12">
      <c r="B117" s="155" t="s">
        <v>766</v>
      </c>
      <c r="C117" s="155" t="s">
        <v>432</v>
      </c>
      <c r="D117" s="156"/>
      <c r="E117" s="155" t="s">
        <v>390</v>
      </c>
      <c r="F117" s="155" t="s">
        <v>767</v>
      </c>
      <c r="G117" s="186">
        <v>45940</v>
      </c>
      <c r="H117" s="186">
        <v>45949</v>
      </c>
      <c r="I117" s="155">
        <f t="shared" si="9"/>
        <v>9</v>
      </c>
      <c r="J117" s="158">
        <v>11486</v>
      </c>
      <c r="K117" s="156" t="s">
        <v>948</v>
      </c>
      <c r="L117" s="155" t="s">
        <v>204</v>
      </c>
    </row>
    <row r="118" spans="2:12">
      <c r="B118" s="155" t="s">
        <v>241</v>
      </c>
      <c r="C118" s="155" t="s">
        <v>48</v>
      </c>
      <c r="D118" s="156"/>
      <c r="E118" s="155" t="s">
        <v>26</v>
      </c>
      <c r="F118" s="155" t="s">
        <v>768</v>
      </c>
      <c r="G118" s="186">
        <v>45940</v>
      </c>
      <c r="H118" s="186">
        <v>45953</v>
      </c>
      <c r="I118" s="155">
        <f t="shared" si="9"/>
        <v>13</v>
      </c>
      <c r="J118" s="158">
        <v>6500</v>
      </c>
      <c r="K118" s="156" t="s">
        <v>1002</v>
      </c>
      <c r="L118" s="155" t="s">
        <v>204</v>
      </c>
    </row>
    <row r="119" spans="2:12">
      <c r="B119" s="155" t="s">
        <v>480</v>
      </c>
      <c r="C119" s="155" t="s">
        <v>48</v>
      </c>
      <c r="D119" s="156"/>
      <c r="E119" s="155" t="s">
        <v>26</v>
      </c>
      <c r="F119" s="155" t="s">
        <v>769</v>
      </c>
      <c r="G119" s="186">
        <v>45940</v>
      </c>
      <c r="H119" s="186">
        <v>45946</v>
      </c>
      <c r="I119" s="155">
        <f t="shared" si="9"/>
        <v>6</v>
      </c>
      <c r="J119" s="158">
        <v>4630</v>
      </c>
      <c r="K119" s="156" t="s">
        <v>892</v>
      </c>
      <c r="L119" s="155" t="s">
        <v>204</v>
      </c>
    </row>
    <row r="120" spans="2:12">
      <c r="B120" s="155" t="s">
        <v>771</v>
      </c>
      <c r="C120" s="155" t="s">
        <v>31</v>
      </c>
      <c r="D120" s="156"/>
      <c r="E120" s="155" t="s">
        <v>128</v>
      </c>
      <c r="F120" s="155" t="s">
        <v>770</v>
      </c>
      <c r="G120" s="186">
        <v>45940</v>
      </c>
      <c r="H120" s="186">
        <v>45955</v>
      </c>
      <c r="I120" s="155">
        <f t="shared" si="9"/>
        <v>15</v>
      </c>
      <c r="J120" s="158">
        <v>79390</v>
      </c>
      <c r="K120" s="156" t="s">
        <v>1046</v>
      </c>
      <c r="L120" s="155" t="s">
        <v>204</v>
      </c>
    </row>
    <row r="121" spans="2:12">
      <c r="B121" s="155" t="s">
        <v>773</v>
      </c>
      <c r="C121" s="155" t="s">
        <v>31</v>
      </c>
      <c r="D121" s="156"/>
      <c r="E121" s="155" t="s">
        <v>128</v>
      </c>
      <c r="F121" s="155" t="s">
        <v>772</v>
      </c>
      <c r="G121" s="186">
        <v>45940</v>
      </c>
      <c r="H121" s="186">
        <v>45960</v>
      </c>
      <c r="I121" s="155">
        <f t="shared" si="9"/>
        <v>20</v>
      </c>
      <c r="J121" s="158">
        <v>20500</v>
      </c>
      <c r="K121" s="156" t="s">
        <v>1131</v>
      </c>
      <c r="L121" s="155" t="s">
        <v>204</v>
      </c>
    </row>
    <row r="122" spans="2:12">
      <c r="B122" s="155" t="s">
        <v>108</v>
      </c>
      <c r="C122" s="155" t="s">
        <v>31</v>
      </c>
      <c r="D122" s="156"/>
      <c r="E122" s="155" t="s">
        <v>128</v>
      </c>
      <c r="F122" s="155" t="s">
        <v>778</v>
      </c>
      <c r="G122" s="186">
        <v>45940</v>
      </c>
      <c r="H122" s="186">
        <v>45945</v>
      </c>
      <c r="I122" s="155">
        <f t="shared" si="9"/>
        <v>5</v>
      </c>
      <c r="J122" s="158">
        <v>30000</v>
      </c>
      <c r="K122" s="156" t="s">
        <v>874</v>
      </c>
      <c r="L122" s="155" t="s">
        <v>204</v>
      </c>
    </row>
    <row r="123" spans="2:12">
      <c r="B123" s="155" t="s">
        <v>177</v>
      </c>
      <c r="C123" s="155" t="s">
        <v>63</v>
      </c>
      <c r="D123" s="156"/>
      <c r="E123" s="155" t="s">
        <v>413</v>
      </c>
      <c r="F123" s="155" t="s">
        <v>779</v>
      </c>
      <c r="G123" s="186">
        <v>45941</v>
      </c>
      <c r="H123" s="186">
        <v>45949</v>
      </c>
      <c r="I123" s="155">
        <f t="shared" si="9"/>
        <v>8</v>
      </c>
      <c r="J123" s="158">
        <v>6600</v>
      </c>
      <c r="K123" s="156" t="s">
        <v>948</v>
      </c>
      <c r="L123" s="155" t="s">
        <v>204</v>
      </c>
    </row>
    <row r="124" spans="2:12">
      <c r="B124" s="155" t="s">
        <v>486</v>
      </c>
      <c r="C124" s="155" t="s">
        <v>56</v>
      </c>
      <c r="D124" s="156"/>
      <c r="E124" s="155" t="s">
        <v>31</v>
      </c>
      <c r="F124" s="155" t="s">
        <v>780</v>
      </c>
      <c r="G124" s="186">
        <v>45941</v>
      </c>
      <c r="H124" s="186">
        <v>45950</v>
      </c>
      <c r="I124" s="155">
        <f t="shared" si="9"/>
        <v>9</v>
      </c>
      <c r="J124" s="158">
        <v>24920</v>
      </c>
      <c r="K124" s="156" t="s">
        <v>948</v>
      </c>
      <c r="L124" s="155" t="s">
        <v>204</v>
      </c>
    </row>
    <row r="125" spans="2:12">
      <c r="B125" s="155" t="s">
        <v>65</v>
      </c>
      <c r="C125" s="155" t="s">
        <v>48</v>
      </c>
      <c r="D125" s="156"/>
      <c r="E125" s="155" t="s">
        <v>26</v>
      </c>
      <c r="F125" s="155" t="s">
        <v>782</v>
      </c>
      <c r="G125" s="186">
        <v>45941</v>
      </c>
      <c r="H125" s="186">
        <v>45948</v>
      </c>
      <c r="I125" s="155">
        <f t="shared" si="9"/>
        <v>7</v>
      </c>
      <c r="J125" s="161">
        <v>4500</v>
      </c>
      <c r="K125" s="156" t="s">
        <v>948</v>
      </c>
      <c r="L125" s="155" t="s">
        <v>204</v>
      </c>
    </row>
    <row r="126" spans="2:12">
      <c r="B126" s="155" t="s">
        <v>179</v>
      </c>
      <c r="C126" s="155" t="s">
        <v>48</v>
      </c>
      <c r="D126" s="156"/>
      <c r="E126" s="155" t="s">
        <v>26</v>
      </c>
      <c r="F126" s="155" t="s">
        <v>783</v>
      </c>
      <c r="G126" s="186">
        <v>45941</v>
      </c>
      <c r="H126" s="186">
        <v>45948</v>
      </c>
      <c r="I126" s="155">
        <f t="shared" si="9"/>
        <v>7</v>
      </c>
      <c r="J126" s="161">
        <v>5410</v>
      </c>
      <c r="K126" s="156" t="s">
        <v>948</v>
      </c>
      <c r="L126" s="155" t="s">
        <v>204</v>
      </c>
    </row>
    <row r="127" spans="2:12">
      <c r="B127" s="155" t="s">
        <v>736</v>
      </c>
      <c r="C127" s="155" t="s">
        <v>432</v>
      </c>
      <c r="D127" s="156"/>
      <c r="E127" s="155" t="s">
        <v>390</v>
      </c>
      <c r="F127" s="155" t="s">
        <v>784</v>
      </c>
      <c r="G127" s="186">
        <v>45941</v>
      </c>
      <c r="H127" s="186">
        <v>45952</v>
      </c>
      <c r="I127" s="155">
        <f t="shared" si="9"/>
        <v>11</v>
      </c>
      <c r="J127" s="161">
        <v>10875</v>
      </c>
      <c r="K127" s="156" t="s">
        <v>967</v>
      </c>
      <c r="L127" s="155" t="s">
        <v>204</v>
      </c>
    </row>
    <row r="128" spans="2:12">
      <c r="B128" s="155" t="s">
        <v>177</v>
      </c>
      <c r="C128" s="155" t="s">
        <v>432</v>
      </c>
      <c r="D128" s="156"/>
      <c r="E128" s="155" t="s">
        <v>390</v>
      </c>
      <c r="F128" s="155" t="s">
        <v>785</v>
      </c>
      <c r="G128" s="186">
        <v>45941</v>
      </c>
      <c r="H128" s="186">
        <v>45951</v>
      </c>
      <c r="I128" s="155">
        <f t="shared" si="9"/>
        <v>10</v>
      </c>
      <c r="J128" s="161">
        <v>5095</v>
      </c>
      <c r="K128" s="156" t="s">
        <v>962</v>
      </c>
      <c r="L128" s="155" t="s">
        <v>204</v>
      </c>
    </row>
    <row r="129" spans="2:12">
      <c r="B129" s="155" t="s">
        <v>721</v>
      </c>
      <c r="C129" s="155" t="s">
        <v>432</v>
      </c>
      <c r="D129" s="156"/>
      <c r="E129" s="155" t="s">
        <v>390</v>
      </c>
      <c r="F129" s="155" t="s">
        <v>786</v>
      </c>
      <c r="G129" s="186">
        <v>45941</v>
      </c>
      <c r="H129" s="186">
        <v>45948</v>
      </c>
      <c r="I129" s="155">
        <f t="shared" si="9"/>
        <v>7</v>
      </c>
      <c r="J129" s="158">
        <v>8644</v>
      </c>
      <c r="K129" s="156" t="s">
        <v>948</v>
      </c>
      <c r="L129" s="155" t="s">
        <v>204</v>
      </c>
    </row>
    <row r="130" spans="2:12">
      <c r="B130" s="155" t="s">
        <v>672</v>
      </c>
      <c r="C130" s="155" t="s">
        <v>432</v>
      </c>
      <c r="D130" s="156"/>
      <c r="E130" s="155" t="s">
        <v>390</v>
      </c>
      <c r="F130" s="155" t="s">
        <v>787</v>
      </c>
      <c r="G130" s="186">
        <v>45941</v>
      </c>
      <c r="H130" s="186">
        <v>45949</v>
      </c>
      <c r="I130" s="155">
        <f t="shared" si="9"/>
        <v>8</v>
      </c>
      <c r="J130" s="158">
        <v>10021</v>
      </c>
      <c r="K130" s="156" t="s">
        <v>1086</v>
      </c>
      <c r="L130" s="155" t="s">
        <v>204</v>
      </c>
    </row>
    <row r="131" spans="2:12">
      <c r="B131" s="155" t="s">
        <v>439</v>
      </c>
      <c r="C131" s="155" t="s">
        <v>56</v>
      </c>
      <c r="D131" s="156"/>
      <c r="E131" s="155" t="s">
        <v>31</v>
      </c>
      <c r="F131" s="155" t="s">
        <v>792</v>
      </c>
      <c r="G131" s="186">
        <v>45943</v>
      </c>
      <c r="H131" s="186">
        <v>45952</v>
      </c>
      <c r="I131" s="155">
        <f t="shared" si="9"/>
        <v>9</v>
      </c>
      <c r="J131" s="161">
        <v>3870</v>
      </c>
      <c r="K131" s="156" t="s">
        <v>967</v>
      </c>
      <c r="L131" s="155" t="s">
        <v>204</v>
      </c>
    </row>
    <row r="132" spans="2:12">
      <c r="B132" s="155" t="s">
        <v>167</v>
      </c>
      <c r="C132" s="155" t="s">
        <v>56</v>
      </c>
      <c r="D132" s="156"/>
      <c r="E132" s="155" t="s">
        <v>31</v>
      </c>
      <c r="F132" s="155" t="s">
        <v>793</v>
      </c>
      <c r="G132" s="186">
        <v>45943</v>
      </c>
      <c r="H132" s="186">
        <v>45951</v>
      </c>
      <c r="I132" s="155">
        <f t="shared" si="9"/>
        <v>8</v>
      </c>
      <c r="J132" s="161">
        <v>17440</v>
      </c>
      <c r="K132" s="156" t="s">
        <v>962</v>
      </c>
      <c r="L132" s="155" t="s">
        <v>204</v>
      </c>
    </row>
    <row r="133" spans="2:12">
      <c r="B133" s="155" t="s">
        <v>557</v>
      </c>
      <c r="C133" s="155" t="s">
        <v>56</v>
      </c>
      <c r="D133" s="156"/>
      <c r="E133" s="155" t="s">
        <v>31</v>
      </c>
      <c r="F133" s="155" t="s">
        <v>794</v>
      </c>
      <c r="G133" s="186">
        <v>45943</v>
      </c>
      <c r="H133" s="186">
        <v>45951</v>
      </c>
      <c r="I133" s="155">
        <f t="shared" si="9"/>
        <v>8</v>
      </c>
      <c r="J133" s="161">
        <v>11000</v>
      </c>
      <c r="K133" s="156" t="s">
        <v>1075</v>
      </c>
      <c r="L133" s="155" t="s">
        <v>204</v>
      </c>
    </row>
    <row r="134" spans="2:12">
      <c r="B134" s="155" t="s">
        <v>796</v>
      </c>
      <c r="C134" s="155" t="s">
        <v>63</v>
      </c>
      <c r="D134" s="156"/>
      <c r="E134" s="155" t="s">
        <v>64</v>
      </c>
      <c r="F134" s="155" t="s">
        <v>1177</v>
      </c>
      <c r="G134" s="186">
        <v>45943</v>
      </c>
      <c r="H134" s="186">
        <v>45951</v>
      </c>
      <c r="I134" s="155">
        <f t="shared" si="9"/>
        <v>8</v>
      </c>
      <c r="J134" s="161">
        <v>17767</v>
      </c>
      <c r="K134" s="392">
        <v>45788</v>
      </c>
      <c r="L134" s="155" t="s">
        <v>204</v>
      </c>
    </row>
    <row r="135" spans="2:12">
      <c r="B135" s="155" t="s">
        <v>346</v>
      </c>
      <c r="C135" s="155" t="s">
        <v>63</v>
      </c>
      <c r="D135" s="156"/>
      <c r="E135" s="155" t="s">
        <v>64</v>
      </c>
      <c r="F135" s="155" t="s">
        <v>795</v>
      </c>
      <c r="G135" s="186">
        <v>45943</v>
      </c>
      <c r="H135" s="186">
        <v>45952</v>
      </c>
      <c r="I135" s="155">
        <f t="shared" si="9"/>
        <v>9</v>
      </c>
      <c r="J135" s="161">
        <v>14373</v>
      </c>
      <c r="K135" s="156" t="s">
        <v>967</v>
      </c>
      <c r="L135" s="155" t="s">
        <v>204</v>
      </c>
    </row>
    <row r="136" spans="2:12">
      <c r="B136" s="155" t="s">
        <v>109</v>
      </c>
      <c r="C136" s="155" t="s">
        <v>31</v>
      </c>
      <c r="D136" s="156"/>
      <c r="E136" s="155" t="s">
        <v>128</v>
      </c>
      <c r="F136" s="155" t="s">
        <v>797</v>
      </c>
      <c r="G136" s="186">
        <v>45943</v>
      </c>
      <c r="H136" s="186">
        <v>45955</v>
      </c>
      <c r="I136" s="155">
        <f t="shared" si="9"/>
        <v>12</v>
      </c>
      <c r="J136" s="161">
        <v>38894</v>
      </c>
      <c r="K136" s="156" t="s">
        <v>1046</v>
      </c>
      <c r="L136" s="155" t="s">
        <v>204</v>
      </c>
    </row>
    <row r="137" spans="2:12">
      <c r="B137" s="155" t="s">
        <v>166</v>
      </c>
      <c r="C137" s="155" t="s">
        <v>48</v>
      </c>
      <c r="D137" s="156"/>
      <c r="E137" s="155" t="s">
        <v>26</v>
      </c>
      <c r="F137" s="155" t="s">
        <v>799</v>
      </c>
      <c r="G137" s="186">
        <v>45943</v>
      </c>
      <c r="H137" s="186">
        <v>45950</v>
      </c>
      <c r="I137" s="155">
        <f t="shared" si="9"/>
        <v>7</v>
      </c>
      <c r="J137" s="158">
        <v>2994</v>
      </c>
      <c r="K137" s="156" t="s">
        <v>948</v>
      </c>
      <c r="L137" s="155" t="s">
        <v>204</v>
      </c>
    </row>
    <row r="138" spans="2:12">
      <c r="B138" s="155" t="s">
        <v>800</v>
      </c>
      <c r="C138" s="155" t="s">
        <v>48</v>
      </c>
      <c r="D138" s="156"/>
      <c r="E138" s="155" t="s">
        <v>26</v>
      </c>
      <c r="F138" s="155" t="s">
        <v>801</v>
      </c>
      <c r="G138" s="186">
        <v>45943</v>
      </c>
      <c r="H138" s="186">
        <v>45952</v>
      </c>
      <c r="I138" s="155">
        <f t="shared" si="9"/>
        <v>9</v>
      </c>
      <c r="J138" s="158">
        <v>6749</v>
      </c>
      <c r="K138" s="156" t="s">
        <v>967</v>
      </c>
      <c r="L138" s="155" t="s">
        <v>204</v>
      </c>
    </row>
    <row r="139" spans="2:12">
      <c r="B139" s="155" t="s">
        <v>807</v>
      </c>
      <c r="C139" s="155" t="s">
        <v>26</v>
      </c>
      <c r="D139" s="156"/>
      <c r="E139" s="155" t="s">
        <v>26</v>
      </c>
      <c r="F139" s="155" t="s">
        <v>808</v>
      </c>
      <c r="G139" s="157">
        <v>45944</v>
      </c>
      <c r="H139" s="157">
        <v>45949</v>
      </c>
      <c r="I139" s="155">
        <f t="shared" si="9"/>
        <v>5</v>
      </c>
      <c r="J139" s="158">
        <v>4256</v>
      </c>
      <c r="K139" s="156" t="s">
        <v>948</v>
      </c>
      <c r="L139" s="155" t="s">
        <v>204</v>
      </c>
    </row>
    <row r="140" spans="2:12">
      <c r="B140" s="155" t="s">
        <v>425</v>
      </c>
      <c r="C140" s="155" t="s">
        <v>48</v>
      </c>
      <c r="D140" s="156"/>
      <c r="E140" s="155" t="s">
        <v>26</v>
      </c>
      <c r="F140" s="155" t="s">
        <v>809</v>
      </c>
      <c r="G140" s="157">
        <v>45944</v>
      </c>
      <c r="H140" s="157">
        <v>45950</v>
      </c>
      <c r="I140" s="155">
        <f t="shared" si="9"/>
        <v>6</v>
      </c>
      <c r="J140" s="158">
        <v>7183</v>
      </c>
      <c r="K140" s="156" t="s">
        <v>967</v>
      </c>
      <c r="L140" s="155" t="s">
        <v>204</v>
      </c>
    </row>
    <row r="141" spans="2:12">
      <c r="B141" s="155" t="s">
        <v>241</v>
      </c>
      <c r="C141" s="155" t="s">
        <v>56</v>
      </c>
      <c r="D141" s="156"/>
      <c r="E141" s="155" t="s">
        <v>31</v>
      </c>
      <c r="F141" s="155" t="s">
        <v>810</v>
      </c>
      <c r="G141" s="157">
        <v>45944</v>
      </c>
      <c r="H141" s="186">
        <v>45954</v>
      </c>
      <c r="I141" s="155">
        <f t="shared" si="9"/>
        <v>10</v>
      </c>
      <c r="J141" s="161">
        <v>7000</v>
      </c>
      <c r="K141" s="156" t="s">
        <v>1032</v>
      </c>
      <c r="L141" s="155" t="s">
        <v>204</v>
      </c>
    </row>
    <row r="142" spans="2:12">
      <c r="B142" s="155" t="s">
        <v>480</v>
      </c>
      <c r="C142" s="155" t="s">
        <v>56</v>
      </c>
      <c r="D142" s="156"/>
      <c r="E142" s="155" t="s">
        <v>31</v>
      </c>
      <c r="F142" s="155" t="s">
        <v>811</v>
      </c>
      <c r="G142" s="157">
        <v>45944</v>
      </c>
      <c r="H142" s="186">
        <v>45952</v>
      </c>
      <c r="I142" s="155">
        <f t="shared" si="9"/>
        <v>8</v>
      </c>
      <c r="J142" s="161">
        <v>6242</v>
      </c>
      <c r="K142" s="156" t="s">
        <v>967</v>
      </c>
      <c r="L142" s="155" t="s">
        <v>204</v>
      </c>
    </row>
    <row r="143" spans="2:12">
      <c r="B143" s="155" t="s">
        <v>812</v>
      </c>
      <c r="C143" s="155" t="s">
        <v>31</v>
      </c>
      <c r="D143" s="156"/>
      <c r="E143" s="155" t="s">
        <v>128</v>
      </c>
      <c r="F143" s="155" t="s">
        <v>813</v>
      </c>
      <c r="G143" s="157">
        <v>45944</v>
      </c>
      <c r="H143" s="186">
        <v>45941</v>
      </c>
      <c r="I143" s="155">
        <f t="shared" si="9"/>
        <v>-3</v>
      </c>
      <c r="J143" s="158">
        <v>93760</v>
      </c>
      <c r="K143" s="156" t="s">
        <v>874</v>
      </c>
      <c r="L143" s="155" t="s">
        <v>204</v>
      </c>
    </row>
    <row r="144" spans="2:12">
      <c r="B144" s="155" t="s">
        <v>426</v>
      </c>
      <c r="C144" s="155" t="s">
        <v>63</v>
      </c>
      <c r="D144" s="156"/>
      <c r="E144" s="155" t="s">
        <v>64</v>
      </c>
      <c r="F144" s="155" t="s">
        <v>815</v>
      </c>
      <c r="G144" s="157">
        <v>45944</v>
      </c>
      <c r="H144" s="186">
        <v>45954</v>
      </c>
      <c r="I144" s="155">
        <f t="shared" si="9"/>
        <v>10</v>
      </c>
      <c r="J144" s="161">
        <v>7180</v>
      </c>
      <c r="K144" s="156" t="s">
        <v>1032</v>
      </c>
      <c r="L144" s="155" t="s">
        <v>204</v>
      </c>
    </row>
    <row r="145" spans="2:12">
      <c r="B145" s="155" t="s">
        <v>203</v>
      </c>
      <c r="C145" s="155" t="s">
        <v>63</v>
      </c>
      <c r="D145" s="156"/>
      <c r="E145" s="155" t="s">
        <v>64</v>
      </c>
      <c r="F145" s="155" t="s">
        <v>816</v>
      </c>
      <c r="G145" s="157">
        <v>45944</v>
      </c>
      <c r="H145" s="186">
        <v>45954</v>
      </c>
      <c r="I145" s="155">
        <f t="shared" si="9"/>
        <v>10</v>
      </c>
      <c r="J145" s="161">
        <v>11850</v>
      </c>
      <c r="K145" s="156" t="s">
        <v>1032</v>
      </c>
      <c r="L145" s="155" t="s">
        <v>204</v>
      </c>
    </row>
    <row r="146" spans="2:12">
      <c r="B146" s="155" t="s">
        <v>39</v>
      </c>
      <c r="C146" s="155" t="s">
        <v>63</v>
      </c>
      <c r="D146" s="156"/>
      <c r="E146" s="155" t="s">
        <v>64</v>
      </c>
      <c r="F146" s="155" t="s">
        <v>821</v>
      </c>
      <c r="G146" s="186">
        <v>45945</v>
      </c>
      <c r="H146" s="186">
        <v>45953</v>
      </c>
      <c r="I146" s="155">
        <f t="shared" si="9"/>
        <v>8</v>
      </c>
      <c r="J146" s="161">
        <v>5912</v>
      </c>
      <c r="K146" s="156" t="s">
        <v>1002</v>
      </c>
      <c r="L146" s="155" t="s">
        <v>204</v>
      </c>
    </row>
    <row r="147" spans="2:12">
      <c r="B147" s="155" t="s">
        <v>824</v>
      </c>
      <c r="C147" s="155" t="s">
        <v>63</v>
      </c>
      <c r="D147" s="156"/>
      <c r="E147" s="155" t="s">
        <v>64</v>
      </c>
      <c r="F147" s="155" t="s">
        <v>822</v>
      </c>
      <c r="G147" s="186">
        <v>45945</v>
      </c>
      <c r="H147" s="186">
        <v>45953</v>
      </c>
      <c r="I147" s="155">
        <f t="shared" si="9"/>
        <v>8</v>
      </c>
      <c r="J147" s="161">
        <v>3444</v>
      </c>
      <c r="K147" s="156" t="s">
        <v>1057</v>
      </c>
      <c r="L147" s="155" t="s">
        <v>204</v>
      </c>
    </row>
    <row r="148" spans="2:12">
      <c r="B148" s="155" t="s">
        <v>177</v>
      </c>
      <c r="C148" s="155" t="s">
        <v>63</v>
      </c>
      <c r="D148" s="156"/>
      <c r="E148" s="155" t="s">
        <v>64</v>
      </c>
      <c r="F148" s="155" t="s">
        <v>823</v>
      </c>
      <c r="G148" s="186">
        <v>45945</v>
      </c>
      <c r="H148" s="186">
        <v>45955</v>
      </c>
      <c r="I148" s="155">
        <f t="shared" si="9"/>
        <v>10</v>
      </c>
      <c r="J148" s="161">
        <v>4040</v>
      </c>
      <c r="K148" s="156" t="s">
        <v>1046</v>
      </c>
      <c r="L148" s="155" t="s">
        <v>204</v>
      </c>
    </row>
    <row r="149" spans="2:12">
      <c r="B149" s="155" t="s">
        <v>825</v>
      </c>
      <c r="C149" s="155" t="s">
        <v>31</v>
      </c>
      <c r="D149" s="156"/>
      <c r="E149" s="155" t="s">
        <v>128</v>
      </c>
      <c r="F149" s="155" t="s">
        <v>826</v>
      </c>
      <c r="G149" s="186">
        <v>45945</v>
      </c>
      <c r="H149" s="186">
        <v>45945</v>
      </c>
      <c r="I149" s="155">
        <f t="shared" si="9"/>
        <v>0</v>
      </c>
      <c r="J149" s="158">
        <v>10000</v>
      </c>
      <c r="K149" s="156" t="s">
        <v>892</v>
      </c>
      <c r="L149" s="155" t="s">
        <v>204</v>
      </c>
    </row>
    <row r="150" spans="2:12">
      <c r="B150" s="155" t="s">
        <v>825</v>
      </c>
      <c r="C150" s="155" t="s">
        <v>31</v>
      </c>
      <c r="D150" s="156"/>
      <c r="E150" s="155" t="s">
        <v>128</v>
      </c>
      <c r="F150" s="155" t="s">
        <v>827</v>
      </c>
      <c r="G150" s="186">
        <v>45945</v>
      </c>
      <c r="H150" s="157">
        <v>45950</v>
      </c>
      <c r="I150" s="155">
        <f t="shared" si="9"/>
        <v>5</v>
      </c>
      <c r="J150" s="158">
        <v>15380</v>
      </c>
      <c r="K150" s="156" t="s">
        <v>948</v>
      </c>
      <c r="L150" s="155" t="s">
        <v>204</v>
      </c>
    </row>
    <row r="151" spans="2:12">
      <c r="B151" s="155" t="s">
        <v>825</v>
      </c>
      <c r="C151" s="155" t="s">
        <v>31</v>
      </c>
      <c r="D151" s="156"/>
      <c r="E151" s="155" t="s">
        <v>128</v>
      </c>
      <c r="F151" s="155" t="s">
        <v>828</v>
      </c>
      <c r="G151" s="186">
        <v>45945</v>
      </c>
      <c r="H151" s="186">
        <v>45957</v>
      </c>
      <c r="I151" s="155">
        <f t="shared" si="9"/>
        <v>12</v>
      </c>
      <c r="J151" s="158">
        <v>20000</v>
      </c>
      <c r="K151" s="156" t="s">
        <v>1046</v>
      </c>
      <c r="L151" s="155" t="s">
        <v>204</v>
      </c>
    </row>
    <row r="152" spans="2:12">
      <c r="B152" s="155" t="s">
        <v>829</v>
      </c>
      <c r="C152" s="155" t="s">
        <v>31</v>
      </c>
      <c r="D152" s="156"/>
      <c r="E152" s="155" t="s">
        <v>128</v>
      </c>
      <c r="F152" s="155" t="s">
        <v>1311</v>
      </c>
      <c r="G152" s="186">
        <v>45945</v>
      </c>
      <c r="H152" s="186">
        <v>45959</v>
      </c>
      <c r="I152" s="155">
        <f t="shared" ref="I152:I162" si="10">H152-G152</f>
        <v>14</v>
      </c>
      <c r="J152" s="158">
        <v>58349</v>
      </c>
      <c r="K152" s="156" t="s">
        <v>1386</v>
      </c>
      <c r="L152" s="155" t="s">
        <v>204</v>
      </c>
    </row>
    <row r="153" spans="2:12">
      <c r="B153" s="155" t="s">
        <v>830</v>
      </c>
      <c r="C153" s="155" t="s">
        <v>31</v>
      </c>
      <c r="D153" s="156"/>
      <c r="E153" s="155" t="s">
        <v>128</v>
      </c>
      <c r="F153" s="155" t="s">
        <v>831</v>
      </c>
      <c r="G153" s="186">
        <v>45945</v>
      </c>
      <c r="H153" s="157">
        <v>45948</v>
      </c>
      <c r="I153" s="155">
        <f t="shared" si="10"/>
        <v>3</v>
      </c>
      <c r="J153" s="158">
        <v>40500</v>
      </c>
      <c r="K153" s="156" t="s">
        <v>948</v>
      </c>
      <c r="L153" s="155" t="s">
        <v>204</v>
      </c>
    </row>
    <row r="154" spans="2:12">
      <c r="B154" s="155" t="s">
        <v>833</v>
      </c>
      <c r="C154" s="155" t="s">
        <v>31</v>
      </c>
      <c r="D154" s="156"/>
      <c r="E154" s="155" t="s">
        <v>128</v>
      </c>
      <c r="F154" s="155" t="s">
        <v>832</v>
      </c>
      <c r="G154" s="186">
        <v>45945</v>
      </c>
      <c r="H154" s="157">
        <v>45967</v>
      </c>
      <c r="I154" s="155">
        <f t="shared" si="10"/>
        <v>22</v>
      </c>
      <c r="J154" s="158">
        <v>33000</v>
      </c>
      <c r="K154" s="392">
        <v>45849</v>
      </c>
      <c r="L154" s="155" t="s">
        <v>204</v>
      </c>
    </row>
    <row r="155" spans="2:12">
      <c r="B155" s="155" t="s">
        <v>833</v>
      </c>
      <c r="C155" s="155" t="s">
        <v>31</v>
      </c>
      <c r="D155" s="156"/>
      <c r="E155" s="155" t="s">
        <v>128</v>
      </c>
      <c r="F155" s="155" t="s">
        <v>834</v>
      </c>
      <c r="G155" s="186">
        <v>45945</v>
      </c>
      <c r="H155" s="157">
        <v>45968</v>
      </c>
      <c r="I155" s="155">
        <f t="shared" si="10"/>
        <v>23</v>
      </c>
      <c r="J155" s="158">
        <v>33100</v>
      </c>
      <c r="K155" s="392">
        <v>45972</v>
      </c>
      <c r="L155" s="155" t="s">
        <v>204</v>
      </c>
    </row>
    <row r="156" spans="2:12">
      <c r="B156" s="155" t="s">
        <v>833</v>
      </c>
      <c r="C156" s="155" t="s">
        <v>31</v>
      </c>
      <c r="D156" s="156"/>
      <c r="E156" s="155" t="s">
        <v>128</v>
      </c>
      <c r="F156" s="155" t="s">
        <v>835</v>
      </c>
      <c r="G156" s="186">
        <v>45945</v>
      </c>
      <c r="H156" s="157">
        <v>45972</v>
      </c>
      <c r="I156" s="155">
        <f t="shared" si="10"/>
        <v>27</v>
      </c>
      <c r="J156" s="158">
        <v>33200</v>
      </c>
      <c r="K156" s="156" t="s">
        <v>1308</v>
      </c>
      <c r="L156" s="155" t="s">
        <v>204</v>
      </c>
    </row>
    <row r="157" spans="2:12">
      <c r="B157" s="155" t="s">
        <v>833</v>
      </c>
      <c r="C157" s="155" t="s">
        <v>31</v>
      </c>
      <c r="D157" s="156"/>
      <c r="E157" s="155" t="s">
        <v>128</v>
      </c>
      <c r="F157" s="155" t="s">
        <v>836</v>
      </c>
      <c r="G157" s="186">
        <v>45945</v>
      </c>
      <c r="H157" s="157">
        <v>45973</v>
      </c>
      <c r="I157" s="155">
        <f t="shared" si="10"/>
        <v>28</v>
      </c>
      <c r="J157" s="158">
        <v>33300</v>
      </c>
      <c r="K157" s="156" t="s">
        <v>1347</v>
      </c>
      <c r="L157" s="155" t="s">
        <v>204</v>
      </c>
    </row>
    <row r="158" spans="2:12">
      <c r="B158" s="155" t="s">
        <v>833</v>
      </c>
      <c r="C158" s="155" t="s">
        <v>31</v>
      </c>
      <c r="D158" s="156"/>
      <c r="E158" s="155" t="s">
        <v>128</v>
      </c>
      <c r="F158" s="155" t="s">
        <v>837</v>
      </c>
      <c r="G158" s="186">
        <v>45945</v>
      </c>
      <c r="H158" s="157">
        <v>45975</v>
      </c>
      <c r="I158" s="155">
        <f t="shared" si="10"/>
        <v>30</v>
      </c>
      <c r="J158" s="158">
        <v>33900</v>
      </c>
      <c r="K158" s="156" t="s">
        <v>1402</v>
      </c>
      <c r="L158" s="155" t="s">
        <v>204</v>
      </c>
    </row>
    <row r="159" spans="2:12">
      <c r="B159" s="155" t="s">
        <v>849</v>
      </c>
      <c r="C159" s="155" t="s">
        <v>56</v>
      </c>
      <c r="D159" s="156"/>
      <c r="E159" s="155" t="s">
        <v>31</v>
      </c>
      <c r="F159" s="155" t="s">
        <v>847</v>
      </c>
      <c r="G159" s="186">
        <v>45945</v>
      </c>
      <c r="H159" s="186">
        <v>45952</v>
      </c>
      <c r="I159" s="155">
        <f t="shared" si="10"/>
        <v>7</v>
      </c>
      <c r="J159" s="158">
        <v>5000</v>
      </c>
      <c r="K159" s="156" t="s">
        <v>967</v>
      </c>
      <c r="L159" s="155" t="s">
        <v>204</v>
      </c>
    </row>
    <row r="160" spans="2:12">
      <c r="B160" s="155" t="s">
        <v>850</v>
      </c>
      <c r="C160" s="155" t="s">
        <v>56</v>
      </c>
      <c r="D160" s="156"/>
      <c r="E160" s="155" t="s">
        <v>31</v>
      </c>
      <c r="F160" s="155" t="s">
        <v>848</v>
      </c>
      <c r="G160" s="186">
        <v>45945</v>
      </c>
      <c r="H160" s="186">
        <v>45951</v>
      </c>
      <c r="I160" s="155">
        <f t="shared" si="10"/>
        <v>6</v>
      </c>
      <c r="J160" s="158">
        <v>4800</v>
      </c>
      <c r="K160" s="156" t="s">
        <v>962</v>
      </c>
      <c r="L160" s="155" t="s">
        <v>204</v>
      </c>
    </row>
    <row r="161" spans="2:13">
      <c r="B161" s="155" t="s">
        <v>30</v>
      </c>
      <c r="C161" s="155" t="s">
        <v>31</v>
      </c>
      <c r="D161" s="156"/>
      <c r="E161" s="155" t="s">
        <v>128</v>
      </c>
      <c r="F161" s="155" t="s">
        <v>858</v>
      </c>
      <c r="G161" s="186">
        <v>45946</v>
      </c>
      <c r="H161" s="186">
        <v>45961</v>
      </c>
      <c r="I161" s="155">
        <f t="shared" si="10"/>
        <v>15</v>
      </c>
      <c r="J161" s="158">
        <v>25081</v>
      </c>
      <c r="K161" s="392">
        <v>45727</v>
      </c>
      <c r="L161" s="155" t="s">
        <v>204</v>
      </c>
      <c r="M161" t="s">
        <v>859</v>
      </c>
    </row>
    <row r="162" spans="2:13">
      <c r="B162" s="155" t="s">
        <v>860</v>
      </c>
      <c r="C162" s="155" t="s">
        <v>56</v>
      </c>
      <c r="D162" s="156"/>
      <c r="E162" s="155" t="s">
        <v>31</v>
      </c>
      <c r="F162" s="155" t="s">
        <v>861</v>
      </c>
      <c r="G162" s="186">
        <v>45946</v>
      </c>
      <c r="H162" s="186">
        <v>45952</v>
      </c>
      <c r="I162" s="155">
        <f t="shared" si="10"/>
        <v>6</v>
      </c>
      <c r="J162" s="158">
        <v>4340</v>
      </c>
      <c r="K162" s="156" t="s">
        <v>967</v>
      </c>
      <c r="L162" s="155" t="s">
        <v>204</v>
      </c>
    </row>
    <row r="163" spans="2:13">
      <c r="B163" s="155" t="s">
        <v>862</v>
      </c>
      <c r="C163" s="155" t="s">
        <v>48</v>
      </c>
      <c r="D163" s="156"/>
      <c r="E163" s="155" t="s">
        <v>26</v>
      </c>
      <c r="F163" s="155" t="s">
        <v>863</v>
      </c>
      <c r="G163" s="186">
        <v>45946</v>
      </c>
      <c r="H163" s="186">
        <v>45955</v>
      </c>
      <c r="I163" s="155">
        <f t="shared" ref="I163:I174" si="11">H163-G163</f>
        <v>9</v>
      </c>
      <c r="J163" s="158">
        <v>7960</v>
      </c>
      <c r="K163" s="156" t="s">
        <v>1046</v>
      </c>
      <c r="L163" s="155" t="s">
        <v>204</v>
      </c>
    </row>
    <row r="164" spans="2:13">
      <c r="B164" s="155" t="s">
        <v>866</v>
      </c>
      <c r="C164" s="155" t="s">
        <v>432</v>
      </c>
      <c r="D164" s="156"/>
      <c r="E164" s="155" t="s">
        <v>390</v>
      </c>
      <c r="F164" s="155" t="s">
        <v>864</v>
      </c>
      <c r="G164" s="186">
        <v>45946</v>
      </c>
      <c r="H164" s="186">
        <v>45956</v>
      </c>
      <c r="I164" s="155">
        <f t="shared" si="11"/>
        <v>10</v>
      </c>
      <c r="J164" s="161">
        <v>9920</v>
      </c>
      <c r="K164" s="156" t="s">
        <v>1046</v>
      </c>
      <c r="L164" s="155" t="s">
        <v>204</v>
      </c>
    </row>
    <row r="165" spans="2:13">
      <c r="B165" s="155" t="s">
        <v>648</v>
      </c>
      <c r="C165" s="155" t="s">
        <v>432</v>
      </c>
      <c r="D165" s="156"/>
      <c r="E165" s="155" t="s">
        <v>390</v>
      </c>
      <c r="F165" s="155" t="s">
        <v>865</v>
      </c>
      <c r="G165" s="186">
        <v>45946</v>
      </c>
      <c r="H165" s="186">
        <v>45955</v>
      </c>
      <c r="I165" s="155">
        <f t="shared" si="11"/>
        <v>9</v>
      </c>
      <c r="J165" s="161">
        <v>8500</v>
      </c>
      <c r="K165" s="156" t="s">
        <v>1046</v>
      </c>
      <c r="L165" s="155" t="s">
        <v>204</v>
      </c>
    </row>
    <row r="166" spans="2:13">
      <c r="B166" s="155" t="s">
        <v>167</v>
      </c>
      <c r="C166" s="155" t="s">
        <v>48</v>
      </c>
      <c r="D166" s="156"/>
      <c r="E166" s="155" t="s">
        <v>26</v>
      </c>
      <c r="F166" s="155" t="s">
        <v>867</v>
      </c>
      <c r="G166" s="186">
        <v>45946</v>
      </c>
      <c r="H166" s="186">
        <v>45957</v>
      </c>
      <c r="I166" s="155">
        <f t="shared" si="11"/>
        <v>11</v>
      </c>
      <c r="J166" s="161">
        <v>22166</v>
      </c>
      <c r="K166" s="156" t="s">
        <v>1131</v>
      </c>
      <c r="L166" s="155" t="s">
        <v>204</v>
      </c>
    </row>
    <row r="167" spans="2:13">
      <c r="B167" s="155" t="s">
        <v>870</v>
      </c>
      <c r="C167" s="155" t="s">
        <v>56</v>
      </c>
      <c r="D167" s="156"/>
      <c r="E167" s="155" t="s">
        <v>31</v>
      </c>
      <c r="F167" s="155" t="s">
        <v>868</v>
      </c>
      <c r="G167" s="186">
        <v>45946</v>
      </c>
      <c r="H167" s="186">
        <v>45953</v>
      </c>
      <c r="I167" s="155">
        <f t="shared" si="11"/>
        <v>7</v>
      </c>
      <c r="J167" s="161">
        <v>11990</v>
      </c>
      <c r="K167" s="156" t="s">
        <v>1002</v>
      </c>
      <c r="L167" s="155" t="s">
        <v>204</v>
      </c>
    </row>
    <row r="168" spans="2:13">
      <c r="B168" s="155" t="s">
        <v>310</v>
      </c>
      <c r="C168" s="155" t="s">
        <v>56</v>
      </c>
      <c r="D168" s="156"/>
      <c r="E168" s="155" t="s">
        <v>31</v>
      </c>
      <c r="F168" s="155" t="s">
        <v>869</v>
      </c>
      <c r="G168" s="186">
        <v>45946</v>
      </c>
      <c r="H168" s="186">
        <v>45953</v>
      </c>
      <c r="I168" s="155">
        <f t="shared" si="11"/>
        <v>7</v>
      </c>
      <c r="J168" s="161">
        <v>5000</v>
      </c>
      <c r="K168" s="156" t="s">
        <v>1002</v>
      </c>
      <c r="L168" s="155" t="s">
        <v>204</v>
      </c>
    </row>
    <row r="169" spans="2:13">
      <c r="B169" s="155" t="s">
        <v>173</v>
      </c>
      <c r="C169" s="155" t="s">
        <v>63</v>
      </c>
      <c r="D169" s="156"/>
      <c r="E169" s="155" t="s">
        <v>64</v>
      </c>
      <c r="F169" s="155" t="s">
        <v>871</v>
      </c>
      <c r="G169" s="186">
        <v>45946</v>
      </c>
      <c r="H169" s="186">
        <v>45954</v>
      </c>
      <c r="I169" s="155">
        <f t="shared" si="11"/>
        <v>8</v>
      </c>
      <c r="J169" s="161">
        <v>8300</v>
      </c>
      <c r="K169" s="156" t="s">
        <v>1032</v>
      </c>
      <c r="L169" s="155" t="s">
        <v>204</v>
      </c>
    </row>
    <row r="170" spans="2:13">
      <c r="B170" s="155" t="s">
        <v>872</v>
      </c>
      <c r="C170" s="155" t="s">
        <v>31</v>
      </c>
      <c r="D170" s="156"/>
      <c r="E170" s="155" t="s">
        <v>128</v>
      </c>
      <c r="F170" s="155" t="s">
        <v>873</v>
      </c>
      <c r="G170" s="186">
        <v>45946</v>
      </c>
      <c r="H170" s="186">
        <v>45952</v>
      </c>
      <c r="I170" s="155">
        <f t="shared" si="11"/>
        <v>6</v>
      </c>
      <c r="J170" s="158">
        <v>69000</v>
      </c>
      <c r="K170" s="156" t="s">
        <v>967</v>
      </c>
      <c r="L170" s="155" t="s">
        <v>204</v>
      </c>
    </row>
    <row r="171" spans="2:13">
      <c r="B171" s="155" t="s">
        <v>876</v>
      </c>
      <c r="C171" s="155" t="s">
        <v>31</v>
      </c>
      <c r="D171" s="156"/>
      <c r="E171" s="155" t="s">
        <v>128</v>
      </c>
      <c r="F171" s="155" t="s">
        <v>877</v>
      </c>
      <c r="G171" s="186">
        <v>45947</v>
      </c>
      <c r="H171" s="186">
        <v>45945</v>
      </c>
      <c r="I171" s="155">
        <f t="shared" si="11"/>
        <v>-2</v>
      </c>
      <c r="J171" s="158">
        <v>104020</v>
      </c>
      <c r="K171" s="156" t="s">
        <v>910</v>
      </c>
      <c r="L171" s="155" t="s">
        <v>204</v>
      </c>
    </row>
    <row r="172" spans="2:13">
      <c r="B172" s="155" t="s">
        <v>876</v>
      </c>
      <c r="C172" s="155" t="s">
        <v>31</v>
      </c>
      <c r="D172" s="156"/>
      <c r="E172" s="155" t="s">
        <v>128</v>
      </c>
      <c r="F172" s="155" t="s">
        <v>878</v>
      </c>
      <c r="G172" s="186">
        <v>45947</v>
      </c>
      <c r="H172" s="157">
        <v>45948</v>
      </c>
      <c r="I172" s="155">
        <f t="shared" si="11"/>
        <v>1</v>
      </c>
      <c r="J172" s="158">
        <v>70000</v>
      </c>
      <c r="K172" s="156" t="s">
        <v>910</v>
      </c>
      <c r="L172" s="155" t="s">
        <v>204</v>
      </c>
    </row>
    <row r="173" spans="2:13">
      <c r="B173" s="155" t="s">
        <v>876</v>
      </c>
      <c r="C173" s="155" t="s">
        <v>31</v>
      </c>
      <c r="D173" s="156"/>
      <c r="E173" s="155" t="s">
        <v>128</v>
      </c>
      <c r="F173" s="155" t="s">
        <v>879</v>
      </c>
      <c r="G173" s="186">
        <v>45947</v>
      </c>
      <c r="H173" s="186">
        <v>45946</v>
      </c>
      <c r="I173" s="155">
        <f t="shared" si="11"/>
        <v>-1</v>
      </c>
      <c r="J173" s="158">
        <v>50000</v>
      </c>
      <c r="K173" s="156" t="s">
        <v>892</v>
      </c>
      <c r="L173" s="155" t="s">
        <v>204</v>
      </c>
    </row>
    <row r="174" spans="2:13">
      <c r="B174" s="155" t="s">
        <v>876</v>
      </c>
      <c r="C174" s="155" t="s">
        <v>31</v>
      </c>
      <c r="D174" s="156"/>
      <c r="E174" s="155" t="s">
        <v>128</v>
      </c>
      <c r="F174" s="155" t="s">
        <v>880</v>
      </c>
      <c r="G174" s="186">
        <v>45947</v>
      </c>
      <c r="H174" s="186">
        <v>45950</v>
      </c>
      <c r="I174" s="155">
        <f t="shared" si="11"/>
        <v>3</v>
      </c>
      <c r="J174" s="158">
        <v>139000</v>
      </c>
      <c r="K174" s="156" t="s">
        <v>948</v>
      </c>
      <c r="L174" s="155" t="s">
        <v>204</v>
      </c>
    </row>
    <row r="175" spans="2:13">
      <c r="B175" s="155" t="s">
        <v>203</v>
      </c>
      <c r="C175" s="155" t="s">
        <v>432</v>
      </c>
      <c r="D175" s="156"/>
      <c r="E175" s="155" t="s">
        <v>390</v>
      </c>
      <c r="F175" s="155" t="s">
        <v>885</v>
      </c>
      <c r="G175" s="186">
        <v>45947</v>
      </c>
      <c r="H175" s="186">
        <v>45954</v>
      </c>
      <c r="I175" s="155">
        <f t="shared" ref="I175:I198" si="12">H175-G175</f>
        <v>7</v>
      </c>
      <c r="J175" s="158">
        <v>4569</v>
      </c>
      <c r="K175" s="156" t="s">
        <v>1032</v>
      </c>
      <c r="L175" s="155" t="s">
        <v>204</v>
      </c>
    </row>
    <row r="176" spans="2:13">
      <c r="B176" s="155" t="s">
        <v>241</v>
      </c>
      <c r="C176" s="155" t="s">
        <v>48</v>
      </c>
      <c r="D176" s="156"/>
      <c r="E176" s="155" t="s">
        <v>26</v>
      </c>
      <c r="F176" s="155" t="s">
        <v>886</v>
      </c>
      <c r="G176" s="186">
        <v>45947</v>
      </c>
      <c r="H176" s="157">
        <v>45962</v>
      </c>
      <c r="I176" s="155">
        <f t="shared" si="12"/>
        <v>15</v>
      </c>
      <c r="J176" s="158">
        <v>3847</v>
      </c>
      <c r="K176" s="392">
        <v>45758</v>
      </c>
      <c r="L176" s="155" t="s">
        <v>204</v>
      </c>
    </row>
    <row r="177" spans="2:13">
      <c r="B177" s="155" t="s">
        <v>480</v>
      </c>
      <c r="C177" s="155" t="s">
        <v>48</v>
      </c>
      <c r="D177" s="156"/>
      <c r="E177" s="155" t="s">
        <v>26</v>
      </c>
      <c r="F177" s="155" t="s">
        <v>887</v>
      </c>
      <c r="G177" s="186">
        <v>45947</v>
      </c>
      <c r="H177" s="186">
        <v>45953</v>
      </c>
      <c r="I177" s="155">
        <f t="shared" si="12"/>
        <v>6</v>
      </c>
      <c r="J177" s="158">
        <v>4893</v>
      </c>
      <c r="K177" s="156" t="s">
        <v>1002</v>
      </c>
      <c r="L177" s="155" t="s">
        <v>204</v>
      </c>
    </row>
    <row r="178" spans="2:13">
      <c r="B178" s="155" t="s">
        <v>890</v>
      </c>
      <c r="C178" s="155" t="s">
        <v>63</v>
      </c>
      <c r="D178" s="156"/>
      <c r="E178" s="155" t="s">
        <v>64</v>
      </c>
      <c r="F178" s="155" t="s">
        <v>888</v>
      </c>
      <c r="G178" s="186">
        <v>45947</v>
      </c>
      <c r="H178" s="186">
        <v>45955</v>
      </c>
      <c r="I178" s="155">
        <f t="shared" si="12"/>
        <v>8</v>
      </c>
      <c r="J178" s="158">
        <v>8729</v>
      </c>
      <c r="K178" s="156" t="s">
        <v>1046</v>
      </c>
      <c r="L178" s="155" t="s">
        <v>204</v>
      </c>
    </row>
    <row r="179" spans="2:13">
      <c r="B179" s="155" t="s">
        <v>891</v>
      </c>
      <c r="C179" s="155" t="s">
        <v>63</v>
      </c>
      <c r="D179" s="156"/>
      <c r="E179" s="155" t="s">
        <v>64</v>
      </c>
      <c r="F179" s="155" t="s">
        <v>889</v>
      </c>
      <c r="G179" s="186">
        <v>45947</v>
      </c>
      <c r="H179" s="186">
        <v>45954</v>
      </c>
      <c r="I179" s="155">
        <f t="shared" si="12"/>
        <v>7</v>
      </c>
      <c r="J179" s="158">
        <v>10000</v>
      </c>
      <c r="K179" s="156" t="s">
        <v>1086</v>
      </c>
      <c r="L179" s="155" t="s">
        <v>204</v>
      </c>
    </row>
    <row r="180" spans="2:13">
      <c r="B180" s="155" t="s">
        <v>553</v>
      </c>
      <c r="C180" s="155" t="s">
        <v>63</v>
      </c>
      <c r="D180" s="156"/>
      <c r="E180" s="155" t="s">
        <v>64</v>
      </c>
      <c r="F180" s="155" t="s">
        <v>893</v>
      </c>
      <c r="G180" s="157">
        <v>45948</v>
      </c>
      <c r="H180" s="186">
        <v>45955</v>
      </c>
      <c r="I180" s="155">
        <f t="shared" si="12"/>
        <v>7</v>
      </c>
      <c r="J180" s="158">
        <v>3174</v>
      </c>
      <c r="K180" s="392">
        <v>45880</v>
      </c>
      <c r="L180" s="155" t="s">
        <v>204</v>
      </c>
    </row>
    <row r="181" spans="2:13">
      <c r="B181" s="155" t="s">
        <v>900</v>
      </c>
      <c r="C181" s="155" t="s">
        <v>48</v>
      </c>
      <c r="D181" s="156"/>
      <c r="E181" s="155" t="s">
        <v>26</v>
      </c>
      <c r="F181" s="155" t="s">
        <v>898</v>
      </c>
      <c r="G181" s="157">
        <v>45948</v>
      </c>
      <c r="H181" s="186">
        <v>45956</v>
      </c>
      <c r="I181" s="155">
        <f t="shared" si="12"/>
        <v>8</v>
      </c>
      <c r="J181" s="158">
        <v>10830</v>
      </c>
      <c r="K181" s="156" t="s">
        <v>1046</v>
      </c>
      <c r="L181" s="155" t="s">
        <v>204</v>
      </c>
    </row>
    <row r="182" spans="2:13">
      <c r="B182" s="155" t="s">
        <v>850</v>
      </c>
      <c r="C182" s="155" t="s">
        <v>48</v>
      </c>
      <c r="D182" s="156"/>
      <c r="E182" s="155" t="s">
        <v>26</v>
      </c>
      <c r="F182" s="155" t="s">
        <v>899</v>
      </c>
      <c r="G182" s="157">
        <v>45948</v>
      </c>
      <c r="H182" s="186">
        <v>45953</v>
      </c>
      <c r="I182" s="155">
        <f t="shared" si="12"/>
        <v>5</v>
      </c>
      <c r="J182" s="158">
        <v>7000</v>
      </c>
      <c r="K182" s="156" t="s">
        <v>1002</v>
      </c>
      <c r="L182" s="155" t="s">
        <v>204</v>
      </c>
    </row>
    <row r="183" spans="2:13">
      <c r="B183" s="155" t="s">
        <v>485</v>
      </c>
      <c r="C183" s="155" t="s">
        <v>432</v>
      </c>
      <c r="D183" s="156"/>
      <c r="E183" s="155" t="s">
        <v>390</v>
      </c>
      <c r="F183" s="155" t="s">
        <v>901</v>
      </c>
      <c r="G183" s="157">
        <v>45948</v>
      </c>
      <c r="H183" s="186">
        <v>45960</v>
      </c>
      <c r="I183" s="155">
        <f t="shared" si="12"/>
        <v>12</v>
      </c>
      <c r="J183" s="158">
        <v>8196</v>
      </c>
      <c r="K183" s="156" t="s">
        <v>1131</v>
      </c>
      <c r="L183" s="155" t="s">
        <v>204</v>
      </c>
    </row>
    <row r="184" spans="2:13">
      <c r="B184" s="155" t="s">
        <v>902</v>
      </c>
      <c r="C184" s="155" t="s">
        <v>31</v>
      </c>
      <c r="D184" s="156"/>
      <c r="E184" s="155" t="s">
        <v>128</v>
      </c>
      <c r="F184" s="155" t="s">
        <v>1076</v>
      </c>
      <c r="G184" s="157">
        <v>45948</v>
      </c>
      <c r="H184" s="186">
        <v>45958</v>
      </c>
      <c r="I184" s="155">
        <f t="shared" si="12"/>
        <v>10</v>
      </c>
      <c r="J184" s="158">
        <v>70450</v>
      </c>
      <c r="K184" s="156" t="s">
        <v>1077</v>
      </c>
      <c r="L184" s="155" t="s">
        <v>204</v>
      </c>
      <c r="M184" t="s">
        <v>906</v>
      </c>
    </row>
    <row r="185" spans="2:13">
      <c r="B185" s="155" t="s">
        <v>903</v>
      </c>
      <c r="C185" s="155" t="s">
        <v>31</v>
      </c>
      <c r="D185" s="156"/>
      <c r="E185" s="155" t="s">
        <v>128</v>
      </c>
      <c r="F185" s="155" t="s">
        <v>904</v>
      </c>
      <c r="G185" s="157">
        <v>45948</v>
      </c>
      <c r="H185" s="186">
        <v>45960</v>
      </c>
      <c r="I185" s="155">
        <f t="shared" si="12"/>
        <v>12</v>
      </c>
      <c r="J185" s="158">
        <v>121000</v>
      </c>
      <c r="K185" s="156" t="s">
        <v>1131</v>
      </c>
      <c r="L185" s="155" t="s">
        <v>204</v>
      </c>
      <c r="M185" t="s">
        <v>905</v>
      </c>
    </row>
    <row r="186" spans="2:13">
      <c r="B186" s="155" t="s">
        <v>908</v>
      </c>
      <c r="C186" s="155" t="s">
        <v>31</v>
      </c>
      <c r="D186" s="156"/>
      <c r="E186" s="155" t="s">
        <v>128</v>
      </c>
      <c r="F186" s="155" t="s">
        <v>909</v>
      </c>
      <c r="G186" s="157">
        <v>45948</v>
      </c>
      <c r="H186" s="157">
        <v>45962</v>
      </c>
      <c r="I186" s="155">
        <f t="shared" si="12"/>
        <v>14</v>
      </c>
      <c r="J186" s="158">
        <v>84000</v>
      </c>
      <c r="K186" s="392">
        <v>45758</v>
      </c>
      <c r="L186" s="155" t="s">
        <v>204</v>
      </c>
      <c r="M186" t="s">
        <v>907</v>
      </c>
    </row>
    <row r="187" spans="2:13">
      <c r="B187" s="155" t="s">
        <v>913</v>
      </c>
      <c r="C187" s="155" t="s">
        <v>31</v>
      </c>
      <c r="D187" s="156"/>
      <c r="E187" s="155" t="s">
        <v>128</v>
      </c>
      <c r="F187" s="155" t="s">
        <v>916</v>
      </c>
      <c r="G187" s="157">
        <v>45950</v>
      </c>
      <c r="H187" s="186">
        <v>45952</v>
      </c>
      <c r="I187" s="155">
        <f t="shared" si="12"/>
        <v>2</v>
      </c>
      <c r="J187" s="158">
        <v>50000</v>
      </c>
      <c r="K187" s="156" t="s">
        <v>967</v>
      </c>
      <c r="L187" s="155" t="s">
        <v>204</v>
      </c>
    </row>
    <row r="188" spans="2:13">
      <c r="B188" s="155" t="s">
        <v>913</v>
      </c>
      <c r="C188" s="155" t="s">
        <v>31</v>
      </c>
      <c r="D188" s="156"/>
      <c r="E188" s="155" t="s">
        <v>128</v>
      </c>
      <c r="F188" s="155" t="s">
        <v>917</v>
      </c>
      <c r="G188" s="157">
        <v>45950</v>
      </c>
      <c r="H188" s="186">
        <v>45954</v>
      </c>
      <c r="I188" s="155">
        <f t="shared" si="12"/>
        <v>4</v>
      </c>
      <c r="J188" s="158">
        <v>50000</v>
      </c>
      <c r="K188" s="156" t="s">
        <v>1032</v>
      </c>
      <c r="L188" s="155" t="s">
        <v>204</v>
      </c>
    </row>
    <row r="189" spans="2:13">
      <c r="B189" s="155" t="s">
        <v>913</v>
      </c>
      <c r="C189" s="155" t="s">
        <v>31</v>
      </c>
      <c r="D189" s="156"/>
      <c r="E189" s="155" t="s">
        <v>128</v>
      </c>
      <c r="F189" s="155" t="s">
        <v>914</v>
      </c>
      <c r="G189" s="157">
        <v>45950</v>
      </c>
      <c r="H189" s="186">
        <v>45957</v>
      </c>
      <c r="I189" s="155">
        <f t="shared" si="12"/>
        <v>7</v>
      </c>
      <c r="J189" s="158">
        <v>50000</v>
      </c>
      <c r="K189" s="156" t="s">
        <v>1032</v>
      </c>
      <c r="L189" s="155" t="s">
        <v>204</v>
      </c>
    </row>
    <row r="190" spans="2:13">
      <c r="B190" s="155" t="s">
        <v>913</v>
      </c>
      <c r="C190" s="155" t="s">
        <v>31</v>
      </c>
      <c r="D190" s="156"/>
      <c r="E190" s="155" t="s">
        <v>128</v>
      </c>
      <c r="F190" s="155" t="s">
        <v>915</v>
      </c>
      <c r="G190" s="157">
        <v>45950</v>
      </c>
      <c r="H190" s="186">
        <v>45959</v>
      </c>
      <c r="I190" s="155">
        <f t="shared" si="12"/>
        <v>9</v>
      </c>
      <c r="J190" s="158">
        <v>50000</v>
      </c>
      <c r="K190" s="156" t="s">
        <v>1077</v>
      </c>
      <c r="L190" s="155" t="s">
        <v>204</v>
      </c>
    </row>
    <row r="191" spans="2:13">
      <c r="B191" s="155" t="s">
        <v>918</v>
      </c>
      <c r="C191" s="155" t="s">
        <v>31</v>
      </c>
      <c r="D191" s="156"/>
      <c r="E191" s="155" t="s">
        <v>128</v>
      </c>
      <c r="F191" s="155" t="s">
        <v>919</v>
      </c>
      <c r="G191" s="157">
        <v>45950</v>
      </c>
      <c r="H191" s="157">
        <v>45964</v>
      </c>
      <c r="I191" s="155">
        <f t="shared" si="12"/>
        <v>14</v>
      </c>
      <c r="J191" s="158">
        <v>33554</v>
      </c>
      <c r="K191" s="392">
        <v>45758</v>
      </c>
      <c r="L191" s="155" t="s">
        <v>204</v>
      </c>
    </row>
    <row r="192" spans="2:13">
      <c r="B192" s="155" t="s">
        <v>179</v>
      </c>
      <c r="C192" s="155" t="s">
        <v>48</v>
      </c>
      <c r="D192" s="156"/>
      <c r="E192" s="155" t="s">
        <v>26</v>
      </c>
      <c r="F192" s="155" t="s">
        <v>920</v>
      </c>
      <c r="G192" s="157">
        <v>45950</v>
      </c>
      <c r="H192" s="186">
        <v>45956</v>
      </c>
      <c r="I192" s="155">
        <f t="shared" si="12"/>
        <v>6</v>
      </c>
      <c r="J192" s="161">
        <v>3094</v>
      </c>
      <c r="K192" s="156" t="s">
        <v>1086</v>
      </c>
      <c r="L192" s="155" t="s">
        <v>204</v>
      </c>
    </row>
    <row r="193" spans="2:12">
      <c r="B193" s="155" t="s">
        <v>870</v>
      </c>
      <c r="C193" s="155" t="s">
        <v>48</v>
      </c>
      <c r="D193" s="156"/>
      <c r="E193" s="155" t="s">
        <v>26</v>
      </c>
      <c r="F193" s="155" t="s">
        <v>921</v>
      </c>
      <c r="G193" s="157">
        <v>45950</v>
      </c>
      <c r="H193" s="186">
        <v>45955</v>
      </c>
      <c r="I193" s="155">
        <f t="shared" si="12"/>
        <v>5</v>
      </c>
      <c r="J193" s="161">
        <v>14946</v>
      </c>
      <c r="K193" s="156" t="s">
        <v>1046</v>
      </c>
      <c r="L193" s="155" t="s">
        <v>204</v>
      </c>
    </row>
    <row r="194" spans="2:12">
      <c r="B194" s="155" t="s">
        <v>345</v>
      </c>
      <c r="C194" s="155" t="s">
        <v>48</v>
      </c>
      <c r="D194" s="156"/>
      <c r="E194" s="155" t="s">
        <v>26</v>
      </c>
      <c r="F194" s="155" t="s">
        <v>922</v>
      </c>
      <c r="G194" s="157">
        <v>45950</v>
      </c>
      <c r="H194" s="186">
        <v>45957</v>
      </c>
      <c r="I194" s="155">
        <f t="shared" si="12"/>
        <v>7</v>
      </c>
      <c r="J194" s="161">
        <v>5000</v>
      </c>
      <c r="K194" s="156" t="s">
        <v>1077</v>
      </c>
      <c r="L194" s="155" t="s">
        <v>204</v>
      </c>
    </row>
    <row r="195" spans="2:12">
      <c r="B195" s="155" t="s">
        <v>310</v>
      </c>
      <c r="C195" s="155" t="s">
        <v>48</v>
      </c>
      <c r="D195" s="156"/>
      <c r="E195" s="155" t="s">
        <v>26</v>
      </c>
      <c r="F195" s="155" t="s">
        <v>923</v>
      </c>
      <c r="G195" s="157">
        <v>45950</v>
      </c>
      <c r="H195" s="186">
        <v>45958</v>
      </c>
      <c r="I195" s="155">
        <f t="shared" si="12"/>
        <v>8</v>
      </c>
      <c r="J195" s="161">
        <v>10500</v>
      </c>
      <c r="K195" s="156" t="s">
        <v>1077</v>
      </c>
      <c r="L195" s="155" t="s">
        <v>204</v>
      </c>
    </row>
    <row r="196" spans="2:12">
      <c r="B196" s="155" t="s">
        <v>926</v>
      </c>
      <c r="C196" s="155" t="s">
        <v>48</v>
      </c>
      <c r="D196" s="156"/>
      <c r="E196" s="155" t="s">
        <v>26</v>
      </c>
      <c r="F196" s="155" t="s">
        <v>924</v>
      </c>
      <c r="G196" s="157">
        <v>45950</v>
      </c>
      <c r="H196" s="186">
        <v>45960</v>
      </c>
      <c r="I196" s="155">
        <f t="shared" si="12"/>
        <v>10</v>
      </c>
      <c r="J196" s="161">
        <v>13850</v>
      </c>
      <c r="K196" s="392">
        <v>45788</v>
      </c>
      <c r="L196" s="155" t="s">
        <v>204</v>
      </c>
    </row>
    <row r="197" spans="2:12">
      <c r="B197" s="155" t="s">
        <v>927</v>
      </c>
      <c r="C197" s="155" t="s">
        <v>48</v>
      </c>
      <c r="D197" s="156"/>
      <c r="E197" s="155" t="s">
        <v>26</v>
      </c>
      <c r="F197" s="155" t="s">
        <v>925</v>
      </c>
      <c r="G197" s="157">
        <v>45950</v>
      </c>
      <c r="H197" s="186">
        <v>45960</v>
      </c>
      <c r="I197" s="155">
        <f t="shared" si="12"/>
        <v>10</v>
      </c>
      <c r="J197" s="161">
        <v>25420</v>
      </c>
      <c r="K197" s="156" t="s">
        <v>1131</v>
      </c>
      <c r="L197" s="155" t="s">
        <v>204</v>
      </c>
    </row>
    <row r="198" spans="2:12">
      <c r="B198" s="155" t="s">
        <v>346</v>
      </c>
      <c r="C198" s="155" t="s">
        <v>63</v>
      </c>
      <c r="D198" s="156"/>
      <c r="E198" s="155" t="s">
        <v>32</v>
      </c>
      <c r="F198" s="155" t="s">
        <v>928</v>
      </c>
      <c r="G198" s="157">
        <v>45950</v>
      </c>
      <c r="H198" s="186">
        <v>45957</v>
      </c>
      <c r="I198" s="155">
        <f t="shared" si="12"/>
        <v>7</v>
      </c>
      <c r="J198" s="161">
        <v>11926</v>
      </c>
      <c r="K198" s="156" t="s">
        <v>1046</v>
      </c>
      <c r="L198" s="155" t="s">
        <v>204</v>
      </c>
    </row>
    <row r="199" spans="2:12">
      <c r="B199" s="155" t="s">
        <v>931</v>
      </c>
      <c r="C199" s="155" t="s">
        <v>63</v>
      </c>
      <c r="D199" s="156"/>
      <c r="E199" s="155" t="s">
        <v>32</v>
      </c>
      <c r="F199" s="155" t="s">
        <v>929</v>
      </c>
      <c r="G199" s="157">
        <v>45950</v>
      </c>
      <c r="H199" s="186">
        <v>45960</v>
      </c>
      <c r="I199" s="155">
        <f t="shared" ref="I199:I212" si="13">H199-G199</f>
        <v>10</v>
      </c>
      <c r="J199" s="161">
        <v>13858</v>
      </c>
      <c r="K199" s="156" t="s">
        <v>1131</v>
      </c>
      <c r="L199" s="155" t="s">
        <v>204</v>
      </c>
    </row>
    <row r="200" spans="2:12">
      <c r="B200" s="155" t="s">
        <v>931</v>
      </c>
      <c r="C200" s="155" t="s">
        <v>63</v>
      </c>
      <c r="D200" s="156"/>
      <c r="E200" s="155" t="s">
        <v>32</v>
      </c>
      <c r="F200" s="155" t="s">
        <v>930</v>
      </c>
      <c r="G200" s="157">
        <v>45950</v>
      </c>
      <c r="H200" s="186">
        <v>45961</v>
      </c>
      <c r="I200" s="155">
        <f t="shared" si="13"/>
        <v>11</v>
      </c>
      <c r="J200" s="161">
        <v>10148</v>
      </c>
      <c r="K200" s="392">
        <v>45727</v>
      </c>
      <c r="L200" s="155" t="s">
        <v>204</v>
      </c>
    </row>
    <row r="201" spans="2:12">
      <c r="B201" s="155" t="s">
        <v>900</v>
      </c>
      <c r="C201" s="155" t="s">
        <v>432</v>
      </c>
      <c r="D201" s="156"/>
      <c r="E201" s="155" t="s">
        <v>390</v>
      </c>
      <c r="F201" s="155" t="s">
        <v>932</v>
      </c>
      <c r="G201" s="157">
        <v>45950</v>
      </c>
      <c r="H201" s="186">
        <v>45959</v>
      </c>
      <c r="I201" s="155">
        <f t="shared" si="13"/>
        <v>9</v>
      </c>
      <c r="J201" s="155">
        <v>8830</v>
      </c>
      <c r="K201" s="156" t="s">
        <v>1086</v>
      </c>
      <c r="L201" s="155" t="s">
        <v>204</v>
      </c>
    </row>
    <row r="202" spans="2:12">
      <c r="B202" s="155" t="s">
        <v>167</v>
      </c>
      <c r="C202" s="155" t="s">
        <v>432</v>
      </c>
      <c r="D202" s="156"/>
      <c r="E202" s="155" t="s">
        <v>390</v>
      </c>
      <c r="F202" s="155" t="s">
        <v>933</v>
      </c>
      <c r="G202" s="157">
        <v>45950</v>
      </c>
      <c r="H202" s="186">
        <v>45959</v>
      </c>
      <c r="I202" s="155">
        <f t="shared" si="13"/>
        <v>9</v>
      </c>
      <c r="J202" s="155">
        <v>14320</v>
      </c>
      <c r="K202" s="156" t="s">
        <v>1086</v>
      </c>
      <c r="L202" s="155" t="s">
        <v>204</v>
      </c>
    </row>
    <row r="203" spans="2:12">
      <c r="B203" s="155" t="s">
        <v>241</v>
      </c>
      <c r="C203" s="155" t="s">
        <v>56</v>
      </c>
      <c r="D203" s="156"/>
      <c r="E203" s="155" t="s">
        <v>31</v>
      </c>
      <c r="F203" s="155" t="s">
        <v>939</v>
      </c>
      <c r="G203" s="186">
        <v>45951</v>
      </c>
      <c r="H203" s="157">
        <v>45962</v>
      </c>
      <c r="I203" s="155">
        <f t="shared" si="13"/>
        <v>11</v>
      </c>
      <c r="J203" s="161">
        <v>4479</v>
      </c>
      <c r="K203" s="392">
        <v>45758</v>
      </c>
      <c r="L203" s="155" t="s">
        <v>204</v>
      </c>
    </row>
    <row r="204" spans="2:12">
      <c r="B204" s="155" t="s">
        <v>727</v>
      </c>
      <c r="C204" s="155" t="s">
        <v>56</v>
      </c>
      <c r="D204" s="156"/>
      <c r="E204" s="155" t="s">
        <v>31</v>
      </c>
      <c r="F204" s="155" t="s">
        <v>940</v>
      </c>
      <c r="G204" s="186">
        <v>45951</v>
      </c>
      <c r="H204" s="186">
        <v>45958</v>
      </c>
      <c r="I204" s="155">
        <f t="shared" si="13"/>
        <v>7</v>
      </c>
      <c r="J204" s="161">
        <v>4796</v>
      </c>
      <c r="K204" s="156" t="s">
        <v>1077</v>
      </c>
      <c r="L204" s="155" t="s">
        <v>204</v>
      </c>
    </row>
    <row r="205" spans="2:12">
      <c r="B205" s="155" t="s">
        <v>480</v>
      </c>
      <c r="C205" s="155" t="s">
        <v>56</v>
      </c>
      <c r="D205" s="156"/>
      <c r="E205" s="155" t="s">
        <v>31</v>
      </c>
      <c r="F205" s="155" t="s">
        <v>941</v>
      </c>
      <c r="G205" s="186">
        <v>45951</v>
      </c>
      <c r="H205" s="186">
        <v>45957</v>
      </c>
      <c r="I205" s="155">
        <f t="shared" si="13"/>
        <v>6</v>
      </c>
      <c r="J205" s="161">
        <v>3873</v>
      </c>
      <c r="K205" s="156" t="s">
        <v>1046</v>
      </c>
      <c r="L205" s="155" t="s">
        <v>204</v>
      </c>
    </row>
    <row r="206" spans="2:12">
      <c r="B206" s="155" t="s">
        <v>943</v>
      </c>
      <c r="C206" s="155" t="s">
        <v>63</v>
      </c>
      <c r="D206" s="156"/>
      <c r="E206" s="155" t="s">
        <v>32</v>
      </c>
      <c r="F206" s="155" t="s">
        <v>942</v>
      </c>
      <c r="G206" s="186">
        <v>45951</v>
      </c>
      <c r="H206" s="186">
        <v>45960</v>
      </c>
      <c r="I206" s="155">
        <f t="shared" si="13"/>
        <v>9</v>
      </c>
      <c r="J206" s="158">
        <v>8800</v>
      </c>
      <c r="K206" s="392">
        <v>45788</v>
      </c>
      <c r="L206" s="155" t="s">
        <v>204</v>
      </c>
    </row>
    <row r="207" spans="2:12">
      <c r="B207" s="155" t="s">
        <v>425</v>
      </c>
      <c r="C207" s="155" t="s">
        <v>48</v>
      </c>
      <c r="D207" s="156"/>
      <c r="E207" s="155" t="s">
        <v>26</v>
      </c>
      <c r="F207" s="155" t="s">
        <v>944</v>
      </c>
      <c r="G207" s="186">
        <v>45951</v>
      </c>
      <c r="H207" s="186">
        <v>45957</v>
      </c>
      <c r="I207" s="155">
        <f t="shared" si="13"/>
        <v>6</v>
      </c>
      <c r="J207" s="158">
        <v>4955</v>
      </c>
      <c r="K207" s="156" t="s">
        <v>1046</v>
      </c>
      <c r="L207" s="155" t="s">
        <v>204</v>
      </c>
    </row>
    <row r="208" spans="2:12">
      <c r="B208" s="155" t="s">
        <v>891</v>
      </c>
      <c r="C208" s="155" t="s">
        <v>432</v>
      </c>
      <c r="D208" s="156"/>
      <c r="E208" s="155" t="s">
        <v>390</v>
      </c>
      <c r="F208" s="155" t="s">
        <v>945</v>
      </c>
      <c r="G208" s="186">
        <v>45951</v>
      </c>
      <c r="H208" s="186">
        <v>45961</v>
      </c>
      <c r="I208" s="155">
        <f t="shared" si="13"/>
        <v>10</v>
      </c>
      <c r="J208" s="158">
        <v>9000</v>
      </c>
      <c r="K208" s="392">
        <v>45727</v>
      </c>
      <c r="L208" s="155" t="s">
        <v>204</v>
      </c>
    </row>
    <row r="209" spans="2:13">
      <c r="B209" s="155" t="s">
        <v>947</v>
      </c>
      <c r="C209" s="155" t="s">
        <v>31</v>
      </c>
      <c r="D209" s="156"/>
      <c r="E209" s="155" t="s">
        <v>128</v>
      </c>
      <c r="F209" s="155" t="s">
        <v>946</v>
      </c>
      <c r="G209" s="186">
        <v>45951</v>
      </c>
      <c r="H209" s="186">
        <v>45953</v>
      </c>
      <c r="I209" s="155">
        <f t="shared" si="13"/>
        <v>2</v>
      </c>
      <c r="J209" s="158">
        <v>95248</v>
      </c>
      <c r="K209" s="156" t="s">
        <v>1002</v>
      </c>
      <c r="L209" s="155" t="s">
        <v>204</v>
      </c>
    </row>
    <row r="210" spans="2:13">
      <c r="B210" s="155" t="s">
        <v>179</v>
      </c>
      <c r="C210" s="155" t="s">
        <v>56</v>
      </c>
      <c r="D210" s="156"/>
      <c r="E210" s="155" t="s">
        <v>31</v>
      </c>
      <c r="F210" s="155" t="s">
        <v>955</v>
      </c>
      <c r="G210" s="186">
        <v>45952</v>
      </c>
      <c r="H210" s="157">
        <v>45963</v>
      </c>
      <c r="I210" s="155">
        <f t="shared" si="13"/>
        <v>11</v>
      </c>
      <c r="J210" s="158">
        <v>20300</v>
      </c>
      <c r="K210" s="392">
        <v>45758</v>
      </c>
      <c r="L210" s="155" t="s">
        <v>204</v>
      </c>
    </row>
    <row r="211" spans="2:13">
      <c r="B211" s="155" t="s">
        <v>900</v>
      </c>
      <c r="C211" s="155" t="s">
        <v>56</v>
      </c>
      <c r="D211" s="156"/>
      <c r="E211" s="155" t="s">
        <v>31</v>
      </c>
      <c r="F211" s="155" t="s">
        <v>956</v>
      </c>
      <c r="G211" s="186">
        <v>45952</v>
      </c>
      <c r="H211" s="186">
        <v>45960</v>
      </c>
      <c r="I211" s="155">
        <f t="shared" si="13"/>
        <v>8</v>
      </c>
      <c r="J211" s="158">
        <v>6400</v>
      </c>
      <c r="K211" s="156" t="s">
        <v>1131</v>
      </c>
      <c r="L211" s="155" t="s">
        <v>204</v>
      </c>
    </row>
    <row r="212" spans="2:13">
      <c r="B212" s="155" t="s">
        <v>177</v>
      </c>
      <c r="C212" s="155" t="s">
        <v>63</v>
      </c>
      <c r="D212" s="156"/>
      <c r="E212" s="155" t="s">
        <v>32</v>
      </c>
      <c r="F212" s="155" t="s">
        <v>959</v>
      </c>
      <c r="G212" s="186">
        <v>45952</v>
      </c>
      <c r="H212" s="157">
        <v>45963</v>
      </c>
      <c r="I212" s="155">
        <f t="shared" si="13"/>
        <v>11</v>
      </c>
      <c r="J212" s="161">
        <v>6590</v>
      </c>
      <c r="K212" s="392">
        <v>45758</v>
      </c>
      <c r="L212" s="155" t="s">
        <v>204</v>
      </c>
    </row>
    <row r="213" spans="2:13">
      <c r="B213" s="155" t="s">
        <v>39</v>
      </c>
      <c r="C213" s="155" t="s">
        <v>63</v>
      </c>
      <c r="D213" s="156"/>
      <c r="E213" s="155" t="s">
        <v>32</v>
      </c>
      <c r="F213" s="155" t="s">
        <v>960</v>
      </c>
      <c r="G213" s="186">
        <v>45952</v>
      </c>
      <c r="H213" s="157">
        <v>45964</v>
      </c>
      <c r="I213" s="155">
        <f t="shared" ref="I213:I221" si="14">H213-G213</f>
        <v>12</v>
      </c>
      <c r="J213" s="171">
        <v>13857</v>
      </c>
      <c r="K213" s="392">
        <v>45758</v>
      </c>
      <c r="L213" s="155" t="s">
        <v>204</v>
      </c>
    </row>
    <row r="214" spans="2:13">
      <c r="B214" s="155" t="s">
        <v>973</v>
      </c>
      <c r="C214" s="155" t="s">
        <v>31</v>
      </c>
      <c r="D214" s="156"/>
      <c r="E214" s="155" t="s">
        <v>128</v>
      </c>
      <c r="F214" s="155" t="s">
        <v>971</v>
      </c>
      <c r="G214" s="186">
        <v>45953</v>
      </c>
      <c r="H214" s="186">
        <v>45955</v>
      </c>
      <c r="I214" s="155">
        <f t="shared" si="14"/>
        <v>2</v>
      </c>
      <c r="J214" s="171">
        <v>14800</v>
      </c>
      <c r="K214" s="156" t="s">
        <v>1046</v>
      </c>
      <c r="L214" s="155" t="s">
        <v>204</v>
      </c>
      <c r="M214" t="s">
        <v>974</v>
      </c>
    </row>
    <row r="215" spans="2:13">
      <c r="B215" s="155" t="s">
        <v>30</v>
      </c>
      <c r="C215" s="155" t="s">
        <v>31</v>
      </c>
      <c r="D215" s="156"/>
      <c r="E215" s="155" t="s">
        <v>128</v>
      </c>
      <c r="F215" s="155" t="s">
        <v>972</v>
      </c>
      <c r="G215" s="186">
        <v>45953</v>
      </c>
      <c r="H215" s="186">
        <v>45955</v>
      </c>
      <c r="I215" s="155">
        <f t="shared" si="14"/>
        <v>2</v>
      </c>
      <c r="J215" s="171">
        <v>2158</v>
      </c>
      <c r="K215" s="156" t="s">
        <v>1046</v>
      </c>
      <c r="L215" s="155" t="s">
        <v>204</v>
      </c>
      <c r="M215" t="s">
        <v>975</v>
      </c>
    </row>
    <row r="216" spans="2:13">
      <c r="B216" s="155" t="s">
        <v>485</v>
      </c>
      <c r="C216" s="155" t="s">
        <v>63</v>
      </c>
      <c r="D216" s="156"/>
      <c r="E216" s="155" t="s">
        <v>64</v>
      </c>
      <c r="F216" s="155" t="s">
        <v>976</v>
      </c>
      <c r="G216" s="186">
        <v>45953</v>
      </c>
      <c r="H216" s="186">
        <v>45961</v>
      </c>
      <c r="I216" s="155">
        <f t="shared" si="14"/>
        <v>8</v>
      </c>
      <c r="J216" s="404">
        <v>5000</v>
      </c>
      <c r="K216" s="392">
        <v>45727</v>
      </c>
      <c r="L216" s="155" t="s">
        <v>204</v>
      </c>
    </row>
    <row r="217" spans="2:13">
      <c r="B217" s="155" t="s">
        <v>167</v>
      </c>
      <c r="C217" s="155" t="s">
        <v>48</v>
      </c>
      <c r="D217" s="156"/>
      <c r="E217" s="155" t="s">
        <v>26</v>
      </c>
      <c r="F217" s="155" t="s">
        <v>977</v>
      </c>
      <c r="G217" s="186">
        <v>45953</v>
      </c>
      <c r="H217" s="186">
        <v>45960</v>
      </c>
      <c r="I217" s="155">
        <f t="shared" si="14"/>
        <v>7</v>
      </c>
      <c r="J217" s="404">
        <v>7840</v>
      </c>
      <c r="K217" s="156" t="s">
        <v>1131</v>
      </c>
      <c r="L217" s="155" t="s">
        <v>204</v>
      </c>
    </row>
    <row r="218" spans="2:13">
      <c r="B218" s="155" t="s">
        <v>870</v>
      </c>
      <c r="C218" s="155" t="s">
        <v>56</v>
      </c>
      <c r="D218" s="156"/>
      <c r="E218" s="155" t="s">
        <v>31</v>
      </c>
      <c r="F218" s="155" t="s">
        <v>978</v>
      </c>
      <c r="G218" s="186">
        <v>45953</v>
      </c>
      <c r="H218" s="186">
        <v>45961</v>
      </c>
      <c r="I218" s="155">
        <f t="shared" si="14"/>
        <v>8</v>
      </c>
      <c r="J218" s="404">
        <v>8729</v>
      </c>
      <c r="K218" s="392">
        <v>45727</v>
      </c>
      <c r="L218" s="155" t="s">
        <v>204</v>
      </c>
    </row>
    <row r="219" spans="2:13">
      <c r="B219" s="155" t="s">
        <v>983</v>
      </c>
      <c r="C219" s="155" t="s">
        <v>31</v>
      </c>
      <c r="D219" s="156"/>
      <c r="E219" s="155" t="s">
        <v>128</v>
      </c>
      <c r="F219" s="155" t="s">
        <v>982</v>
      </c>
      <c r="G219" s="186">
        <v>45953</v>
      </c>
      <c r="H219" s="186">
        <v>45960</v>
      </c>
      <c r="I219" s="155">
        <f t="shared" si="14"/>
        <v>7</v>
      </c>
      <c r="J219" s="158">
        <v>94710</v>
      </c>
      <c r="K219" s="156" t="s">
        <v>1131</v>
      </c>
      <c r="L219" s="155" t="s">
        <v>204</v>
      </c>
    </row>
    <row r="220" spans="2:13">
      <c r="B220" s="155" t="s">
        <v>984</v>
      </c>
      <c r="C220" s="155" t="s">
        <v>31</v>
      </c>
      <c r="D220" s="156"/>
      <c r="E220" s="155" t="s">
        <v>128</v>
      </c>
      <c r="F220" s="155" t="s">
        <v>985</v>
      </c>
      <c r="G220" s="186">
        <v>45953</v>
      </c>
      <c r="H220" s="186">
        <v>45955</v>
      </c>
      <c r="I220" s="155">
        <f t="shared" si="14"/>
        <v>2</v>
      </c>
      <c r="J220" s="158">
        <v>48000</v>
      </c>
      <c r="K220" s="156" t="s">
        <v>1046</v>
      </c>
      <c r="L220" s="155" t="s">
        <v>204</v>
      </c>
    </row>
    <row r="221" spans="2:13">
      <c r="B221" s="155" t="s">
        <v>988</v>
      </c>
      <c r="C221" s="155" t="s">
        <v>31</v>
      </c>
      <c r="D221" s="156"/>
      <c r="E221" s="155" t="s">
        <v>128</v>
      </c>
      <c r="F221" s="155" t="s">
        <v>987</v>
      </c>
      <c r="G221" s="186">
        <v>45953</v>
      </c>
      <c r="H221" s="186">
        <v>45954</v>
      </c>
      <c r="I221" s="155">
        <f t="shared" si="14"/>
        <v>1</v>
      </c>
      <c r="J221" s="158">
        <v>30000</v>
      </c>
      <c r="K221" s="156" t="s">
        <v>1046</v>
      </c>
      <c r="L221" s="155" t="s">
        <v>204</v>
      </c>
    </row>
    <row r="222" spans="2:13">
      <c r="B222" s="155" t="s">
        <v>796</v>
      </c>
      <c r="C222" s="155" t="s">
        <v>56</v>
      </c>
      <c r="D222" s="156"/>
      <c r="E222" s="155" t="s">
        <v>31</v>
      </c>
      <c r="F222" s="155" t="s">
        <v>996</v>
      </c>
      <c r="G222" s="186">
        <v>45954</v>
      </c>
      <c r="H222" s="157">
        <v>45964</v>
      </c>
      <c r="I222" s="155">
        <f t="shared" ref="I222:I239" si="15">H222-G222</f>
        <v>10</v>
      </c>
      <c r="J222" s="158">
        <v>15221</v>
      </c>
      <c r="K222" s="392">
        <v>45758</v>
      </c>
      <c r="L222" s="155" t="s">
        <v>204</v>
      </c>
    </row>
    <row r="223" spans="2:13">
      <c r="B223" s="155" t="s">
        <v>998</v>
      </c>
      <c r="C223" s="155" t="s">
        <v>56</v>
      </c>
      <c r="D223" s="156"/>
      <c r="E223" s="155" t="s">
        <v>31</v>
      </c>
      <c r="F223" s="155" t="s">
        <v>997</v>
      </c>
      <c r="G223" s="186">
        <v>45954</v>
      </c>
      <c r="H223" s="186">
        <v>45961</v>
      </c>
      <c r="I223" s="155">
        <f t="shared" si="15"/>
        <v>7</v>
      </c>
      <c r="J223" s="158">
        <v>5000</v>
      </c>
      <c r="K223" s="392">
        <v>45727</v>
      </c>
      <c r="L223" s="155" t="s">
        <v>204</v>
      </c>
    </row>
    <row r="224" spans="2:13">
      <c r="B224" s="155" t="s">
        <v>480</v>
      </c>
      <c r="C224" s="155" t="s">
        <v>48</v>
      </c>
      <c r="D224" s="156"/>
      <c r="E224" s="155" t="s">
        <v>26</v>
      </c>
      <c r="F224" s="155" t="s">
        <v>999</v>
      </c>
      <c r="G224" s="186">
        <v>45954</v>
      </c>
      <c r="H224" s="186">
        <v>45960</v>
      </c>
      <c r="I224" s="155">
        <f t="shared" si="15"/>
        <v>6</v>
      </c>
      <c r="J224" s="158">
        <v>6434</v>
      </c>
      <c r="K224" s="156" t="s">
        <v>1131</v>
      </c>
      <c r="L224" s="155" t="s">
        <v>204</v>
      </c>
    </row>
    <row r="225" spans="2:12">
      <c r="B225" s="155" t="s">
        <v>736</v>
      </c>
      <c r="C225" s="155" t="s">
        <v>432</v>
      </c>
      <c r="D225" s="156"/>
      <c r="E225" s="155" t="s">
        <v>390</v>
      </c>
      <c r="F225" s="155" t="s">
        <v>1012</v>
      </c>
      <c r="G225" s="186">
        <v>45955</v>
      </c>
      <c r="H225" s="157">
        <v>45966</v>
      </c>
      <c r="I225" s="155">
        <f t="shared" si="15"/>
        <v>11</v>
      </c>
      <c r="J225" s="161">
        <v>4950</v>
      </c>
      <c r="K225" s="392">
        <v>45971</v>
      </c>
      <c r="L225" s="155" t="s">
        <v>204</v>
      </c>
    </row>
    <row r="226" spans="2:12">
      <c r="B226" s="155" t="s">
        <v>850</v>
      </c>
      <c r="C226" s="155" t="s">
        <v>48</v>
      </c>
      <c r="D226" s="156"/>
      <c r="E226" s="155" t="s">
        <v>26</v>
      </c>
      <c r="F226" s="155" t="s">
        <v>1013</v>
      </c>
      <c r="G226" s="186">
        <v>45955</v>
      </c>
      <c r="H226" s="186">
        <v>45960</v>
      </c>
      <c r="I226" s="155">
        <f t="shared" si="15"/>
        <v>5</v>
      </c>
      <c r="J226" s="161">
        <v>5500</v>
      </c>
      <c r="K226" s="156" t="s">
        <v>1131</v>
      </c>
      <c r="L226" s="155" t="s">
        <v>204</v>
      </c>
    </row>
    <row r="227" spans="2:12">
      <c r="B227" s="155" t="s">
        <v>179</v>
      </c>
      <c r="C227" s="155" t="s">
        <v>48</v>
      </c>
      <c r="D227" s="156"/>
      <c r="E227" s="155" t="s">
        <v>26</v>
      </c>
      <c r="F227" s="155" t="s">
        <v>1014</v>
      </c>
      <c r="G227" s="186">
        <v>45955</v>
      </c>
      <c r="H227" s="157">
        <v>45969</v>
      </c>
      <c r="I227" s="155">
        <f>H227-G227</f>
        <v>14</v>
      </c>
      <c r="J227" s="161">
        <v>10000</v>
      </c>
      <c r="K227" s="392">
        <v>45971</v>
      </c>
      <c r="L227" s="155" t="s">
        <v>204</v>
      </c>
    </row>
    <row r="228" spans="2:12">
      <c r="B228" s="155" t="s">
        <v>179</v>
      </c>
      <c r="C228" s="155" t="s">
        <v>48</v>
      </c>
      <c r="D228" s="156"/>
      <c r="E228" s="155" t="s">
        <v>26</v>
      </c>
      <c r="F228" s="155" t="s">
        <v>1015</v>
      </c>
      <c r="G228" s="186">
        <v>45955</v>
      </c>
      <c r="H228" s="157">
        <v>45970</v>
      </c>
      <c r="I228" s="155">
        <f>H228-G228</f>
        <v>15</v>
      </c>
      <c r="J228" s="161">
        <v>10000</v>
      </c>
      <c r="K228" s="392">
        <v>45971</v>
      </c>
      <c r="L228" s="155" t="s">
        <v>204</v>
      </c>
    </row>
    <row r="229" spans="2:12">
      <c r="B229" s="155" t="s">
        <v>486</v>
      </c>
      <c r="C229" s="155" t="s">
        <v>56</v>
      </c>
      <c r="D229" s="156"/>
      <c r="E229" s="155" t="s">
        <v>31</v>
      </c>
      <c r="F229" s="155" t="s">
        <v>1016</v>
      </c>
      <c r="G229" s="186">
        <v>45955</v>
      </c>
      <c r="H229" s="157">
        <v>45967</v>
      </c>
      <c r="I229" s="155">
        <f t="shared" si="15"/>
        <v>12</v>
      </c>
      <c r="J229" s="158">
        <v>19580</v>
      </c>
      <c r="K229" s="392">
        <v>45849</v>
      </c>
      <c r="L229" s="155" t="s">
        <v>204</v>
      </c>
    </row>
    <row r="230" spans="2:12">
      <c r="B230" s="155" t="s">
        <v>913</v>
      </c>
      <c r="C230" s="155" t="s">
        <v>31</v>
      </c>
      <c r="D230" s="156"/>
      <c r="E230" s="155" t="s">
        <v>128</v>
      </c>
      <c r="F230" s="155" t="s">
        <v>1018</v>
      </c>
      <c r="G230" s="186">
        <v>45955</v>
      </c>
      <c r="H230" s="186">
        <v>45955</v>
      </c>
      <c r="I230" s="155">
        <f t="shared" si="15"/>
        <v>0</v>
      </c>
      <c r="J230" s="158">
        <v>50000</v>
      </c>
      <c r="K230" s="156" t="s">
        <v>1046</v>
      </c>
      <c r="L230" s="155" t="s">
        <v>204</v>
      </c>
    </row>
    <row r="231" spans="2:12">
      <c r="B231" s="155" t="s">
        <v>796</v>
      </c>
      <c r="C231" s="155" t="s">
        <v>63</v>
      </c>
      <c r="D231" s="156"/>
      <c r="E231" s="155" t="s">
        <v>64</v>
      </c>
      <c r="F231" s="155" t="s">
        <v>1023</v>
      </c>
      <c r="G231" s="186">
        <v>45957</v>
      </c>
      <c r="H231" s="157">
        <v>45968</v>
      </c>
      <c r="I231" s="155">
        <f t="shared" si="15"/>
        <v>11</v>
      </c>
      <c r="J231" s="158">
        <v>22911</v>
      </c>
      <c r="K231" s="392">
        <v>45941</v>
      </c>
      <c r="L231" s="155" t="s">
        <v>204</v>
      </c>
    </row>
    <row r="232" spans="2:12">
      <c r="B232" s="155" t="s">
        <v>1025</v>
      </c>
      <c r="C232" s="155" t="s">
        <v>56</v>
      </c>
      <c r="D232" s="156"/>
      <c r="E232" s="155" t="s">
        <v>31</v>
      </c>
      <c r="F232" s="155" t="s">
        <v>1155</v>
      </c>
      <c r="G232" s="186">
        <v>45957</v>
      </c>
      <c r="H232" s="157">
        <v>45969</v>
      </c>
      <c r="I232" s="155">
        <f t="shared" si="15"/>
        <v>12</v>
      </c>
      <c r="J232" s="158">
        <v>13900</v>
      </c>
      <c r="K232" s="392">
        <v>45971</v>
      </c>
      <c r="L232" s="155" t="s">
        <v>204</v>
      </c>
    </row>
    <row r="233" spans="2:12">
      <c r="B233" s="155" t="s">
        <v>439</v>
      </c>
      <c r="C233" s="155" t="s">
        <v>56</v>
      </c>
      <c r="D233" s="156"/>
      <c r="E233" s="155" t="s">
        <v>31</v>
      </c>
      <c r="F233" s="155" t="s">
        <v>1024</v>
      </c>
      <c r="G233" s="186">
        <v>45957</v>
      </c>
      <c r="H233" s="157">
        <v>45969</v>
      </c>
      <c r="I233" s="155">
        <f t="shared" si="15"/>
        <v>12</v>
      </c>
      <c r="J233" s="158">
        <v>5880</v>
      </c>
      <c r="K233" s="392">
        <v>45971</v>
      </c>
      <c r="L233" s="155" t="s">
        <v>204</v>
      </c>
    </row>
    <row r="234" spans="2:12">
      <c r="B234" s="155" t="s">
        <v>900</v>
      </c>
      <c r="C234" s="155" t="s">
        <v>48</v>
      </c>
      <c r="D234" s="156"/>
      <c r="E234" s="155" t="s">
        <v>26</v>
      </c>
      <c r="F234" s="155" t="s">
        <v>1026</v>
      </c>
      <c r="G234" s="186">
        <v>45957</v>
      </c>
      <c r="H234" s="157">
        <v>45963</v>
      </c>
      <c r="I234" s="155">
        <f t="shared" si="15"/>
        <v>6</v>
      </c>
      <c r="J234" s="158">
        <v>9160</v>
      </c>
      <c r="K234" s="392">
        <v>45758</v>
      </c>
      <c r="L234" s="155" t="s">
        <v>204</v>
      </c>
    </row>
    <row r="235" spans="2:12">
      <c r="B235" s="155" t="s">
        <v>870</v>
      </c>
      <c r="C235" s="155" t="s">
        <v>48</v>
      </c>
      <c r="D235" s="156"/>
      <c r="E235" s="155" t="s">
        <v>26</v>
      </c>
      <c r="F235" s="155" t="s">
        <v>1179</v>
      </c>
      <c r="G235" s="186">
        <v>45957</v>
      </c>
      <c r="H235" s="157">
        <v>45962</v>
      </c>
      <c r="I235" s="155">
        <f t="shared" si="15"/>
        <v>5</v>
      </c>
      <c r="J235" s="161">
        <v>5543</v>
      </c>
      <c r="K235" s="392">
        <v>45788</v>
      </c>
      <c r="L235" s="155" t="s">
        <v>204</v>
      </c>
    </row>
    <row r="236" spans="2:12">
      <c r="B236" s="155" t="s">
        <v>166</v>
      </c>
      <c r="C236" s="155" t="s">
        <v>48</v>
      </c>
      <c r="D236" s="156"/>
      <c r="E236" s="155" t="s">
        <v>26</v>
      </c>
      <c r="F236" s="155" t="s">
        <v>1029</v>
      </c>
      <c r="G236" s="186">
        <v>45957</v>
      </c>
      <c r="H236" s="157">
        <v>45964</v>
      </c>
      <c r="I236" s="155">
        <f t="shared" si="15"/>
        <v>7</v>
      </c>
      <c r="J236" s="161">
        <v>3916</v>
      </c>
      <c r="K236" s="392">
        <v>45758</v>
      </c>
      <c r="L236" s="155" t="s">
        <v>204</v>
      </c>
    </row>
    <row r="237" spans="2:12">
      <c r="B237" s="155" t="s">
        <v>800</v>
      </c>
      <c r="C237" s="155" t="s">
        <v>48</v>
      </c>
      <c r="D237" s="156"/>
      <c r="E237" s="155" t="s">
        <v>26</v>
      </c>
      <c r="F237" s="155" t="s">
        <v>1030</v>
      </c>
      <c r="G237" s="186">
        <v>45957</v>
      </c>
      <c r="H237" s="157">
        <v>45965</v>
      </c>
      <c r="I237" s="155">
        <f t="shared" si="15"/>
        <v>8</v>
      </c>
      <c r="J237" s="161">
        <v>7627</v>
      </c>
      <c r="K237" s="392">
        <v>45788</v>
      </c>
      <c r="L237" s="155" t="s">
        <v>204</v>
      </c>
    </row>
    <row r="238" spans="2:12">
      <c r="B238" s="155" t="s">
        <v>265</v>
      </c>
      <c r="C238" s="155" t="s">
        <v>63</v>
      </c>
      <c r="D238" s="156"/>
      <c r="E238" s="155" t="s">
        <v>64</v>
      </c>
      <c r="F238" s="155" t="s">
        <v>1035</v>
      </c>
      <c r="G238" s="245">
        <v>45958</v>
      </c>
      <c r="H238" s="157">
        <v>45968</v>
      </c>
      <c r="I238" s="155">
        <f t="shared" si="15"/>
        <v>10</v>
      </c>
      <c r="J238" s="161">
        <v>11580</v>
      </c>
      <c r="K238" s="392">
        <v>45941</v>
      </c>
      <c r="L238" s="155" t="s">
        <v>204</v>
      </c>
    </row>
    <row r="239" spans="2:12">
      <c r="B239" s="155" t="s">
        <v>1037</v>
      </c>
      <c r="C239" s="155" t="s">
        <v>63</v>
      </c>
      <c r="D239" s="156"/>
      <c r="E239" s="155" t="s">
        <v>64</v>
      </c>
      <c r="F239" s="155" t="s">
        <v>1036</v>
      </c>
      <c r="G239" s="245">
        <v>45958</v>
      </c>
      <c r="H239" s="157">
        <v>45969</v>
      </c>
      <c r="I239" s="155">
        <f t="shared" si="15"/>
        <v>11</v>
      </c>
      <c r="J239" s="161">
        <v>6900</v>
      </c>
      <c r="K239" s="392">
        <v>45971</v>
      </c>
      <c r="L239" s="155" t="s">
        <v>204</v>
      </c>
    </row>
    <row r="240" spans="2:12">
      <c r="B240" s="155" t="s">
        <v>1038</v>
      </c>
      <c r="C240" s="155" t="s">
        <v>63</v>
      </c>
      <c r="D240" s="156"/>
      <c r="E240" s="155" t="s">
        <v>64</v>
      </c>
      <c r="F240" s="155" t="s">
        <v>1355</v>
      </c>
      <c r="G240" s="245">
        <v>45958</v>
      </c>
      <c r="H240" s="157">
        <v>45975</v>
      </c>
      <c r="I240" s="155">
        <f t="shared" ref="I240:I253" si="16">H240-G240</f>
        <v>17</v>
      </c>
      <c r="J240" s="161">
        <v>10409</v>
      </c>
      <c r="K240" s="156" t="s">
        <v>1402</v>
      </c>
      <c r="L240" s="155" t="s">
        <v>204</v>
      </c>
    </row>
    <row r="241" spans="2:12">
      <c r="B241" s="155" t="s">
        <v>727</v>
      </c>
      <c r="C241" s="155" t="s">
        <v>56</v>
      </c>
      <c r="D241" s="156"/>
      <c r="E241" s="155" t="s">
        <v>31</v>
      </c>
      <c r="F241" s="155" t="s">
        <v>1041</v>
      </c>
      <c r="G241" s="245">
        <v>45958</v>
      </c>
      <c r="H241" s="157">
        <v>45968</v>
      </c>
      <c r="I241" s="155">
        <f t="shared" si="16"/>
        <v>10</v>
      </c>
      <c r="J241" s="161">
        <v>6140</v>
      </c>
      <c r="K241" s="392">
        <v>45941</v>
      </c>
      <c r="L241" s="155" t="s">
        <v>204</v>
      </c>
    </row>
    <row r="242" spans="2:12">
      <c r="B242" s="155" t="s">
        <v>241</v>
      </c>
      <c r="C242" s="155" t="s">
        <v>56</v>
      </c>
      <c r="D242" s="156"/>
      <c r="E242" s="155" t="s">
        <v>31</v>
      </c>
      <c r="F242" s="155" t="s">
        <v>1042</v>
      </c>
      <c r="G242" s="245">
        <v>45958</v>
      </c>
      <c r="H242" s="157">
        <v>45969</v>
      </c>
      <c r="I242" s="155">
        <f t="shared" si="16"/>
        <v>11</v>
      </c>
      <c r="J242" s="161">
        <v>3700</v>
      </c>
      <c r="K242" s="392">
        <v>45971</v>
      </c>
      <c r="L242" s="155" t="s">
        <v>204</v>
      </c>
    </row>
    <row r="243" spans="2:12">
      <c r="B243" s="155" t="s">
        <v>1047</v>
      </c>
      <c r="C243" s="155" t="s">
        <v>31</v>
      </c>
      <c r="D243" s="156"/>
      <c r="E243" s="155" t="s">
        <v>128</v>
      </c>
      <c r="F243" s="155" t="s">
        <v>1048</v>
      </c>
      <c r="G243" s="245">
        <v>45958</v>
      </c>
      <c r="H243" s="157">
        <v>45964</v>
      </c>
      <c r="I243" s="155">
        <f t="shared" si="16"/>
        <v>6</v>
      </c>
      <c r="J243" s="158">
        <v>64370</v>
      </c>
      <c r="K243" s="392">
        <v>45758</v>
      </c>
      <c r="L243" s="155" t="s">
        <v>204</v>
      </c>
    </row>
    <row r="244" spans="2:12">
      <c r="B244" s="155" t="s">
        <v>1047</v>
      </c>
      <c r="C244" s="155" t="s">
        <v>31</v>
      </c>
      <c r="D244" s="156"/>
      <c r="E244" s="155" t="s">
        <v>128</v>
      </c>
      <c r="F244" s="155" t="s">
        <v>1049</v>
      </c>
      <c r="G244" s="245">
        <v>45958</v>
      </c>
      <c r="H244" s="157">
        <v>45964</v>
      </c>
      <c r="I244" s="155">
        <f t="shared" si="16"/>
        <v>6</v>
      </c>
      <c r="J244" s="158">
        <v>50000</v>
      </c>
      <c r="K244" s="392">
        <v>45788</v>
      </c>
      <c r="L244" s="155" t="s">
        <v>204</v>
      </c>
    </row>
    <row r="245" spans="2:12">
      <c r="B245" s="155" t="s">
        <v>1047</v>
      </c>
      <c r="C245" s="155" t="s">
        <v>31</v>
      </c>
      <c r="D245" s="156"/>
      <c r="E245" s="155" t="s">
        <v>128</v>
      </c>
      <c r="F245" s="155" t="s">
        <v>1050</v>
      </c>
      <c r="G245" s="245">
        <v>45958</v>
      </c>
      <c r="H245" s="157">
        <v>45963</v>
      </c>
      <c r="I245" s="155">
        <f t="shared" si="16"/>
        <v>5</v>
      </c>
      <c r="J245" s="158">
        <v>50000</v>
      </c>
      <c r="K245" s="392">
        <v>45788</v>
      </c>
      <c r="L245" s="155" t="s">
        <v>204</v>
      </c>
    </row>
    <row r="246" spans="2:12">
      <c r="B246" s="155" t="s">
        <v>1047</v>
      </c>
      <c r="C246" s="155" t="s">
        <v>31</v>
      </c>
      <c r="D246" s="156"/>
      <c r="E246" s="155" t="s">
        <v>128</v>
      </c>
      <c r="F246" s="155" t="s">
        <v>1051</v>
      </c>
      <c r="G246" s="245">
        <v>45958</v>
      </c>
      <c r="H246" s="157">
        <v>45962</v>
      </c>
      <c r="I246" s="155">
        <f t="shared" si="16"/>
        <v>4</v>
      </c>
      <c r="J246" s="158">
        <v>50000</v>
      </c>
      <c r="K246" s="392">
        <v>45819</v>
      </c>
      <c r="L246" s="155" t="s">
        <v>204</v>
      </c>
    </row>
    <row r="247" spans="2:12">
      <c r="B247" s="155" t="s">
        <v>890</v>
      </c>
      <c r="C247" s="155" t="s">
        <v>1053</v>
      </c>
      <c r="D247" s="156"/>
      <c r="E247" s="155" t="s">
        <v>1054</v>
      </c>
      <c r="F247" s="155" t="s">
        <v>1052</v>
      </c>
      <c r="G247" s="245">
        <v>45958</v>
      </c>
      <c r="H247" s="157">
        <v>45969</v>
      </c>
      <c r="I247" s="155">
        <f t="shared" si="16"/>
        <v>11</v>
      </c>
      <c r="J247" s="158">
        <v>12863</v>
      </c>
      <c r="K247" s="392">
        <v>45971</v>
      </c>
      <c r="L247" s="155" t="s">
        <v>204</v>
      </c>
    </row>
    <row r="248" spans="2:12">
      <c r="B248" s="155" t="s">
        <v>1055</v>
      </c>
      <c r="C248" s="155" t="s">
        <v>31</v>
      </c>
      <c r="D248" s="156"/>
      <c r="E248" s="155" t="s">
        <v>128</v>
      </c>
      <c r="F248" s="155" t="s">
        <v>1324</v>
      </c>
      <c r="G248" s="245">
        <v>45958</v>
      </c>
      <c r="H248" s="157">
        <v>45973</v>
      </c>
      <c r="I248" s="155">
        <f t="shared" si="16"/>
        <v>15</v>
      </c>
      <c r="J248" s="158">
        <v>20048</v>
      </c>
      <c r="K248" s="156" t="s">
        <v>1308</v>
      </c>
      <c r="L248" s="155" t="s">
        <v>204</v>
      </c>
    </row>
    <row r="249" spans="2:12">
      <c r="B249" s="155" t="s">
        <v>39</v>
      </c>
      <c r="C249" s="155" t="s">
        <v>432</v>
      </c>
      <c r="D249" s="156"/>
      <c r="E249" s="155" t="s">
        <v>390</v>
      </c>
      <c r="F249" s="155" t="s">
        <v>1056</v>
      </c>
      <c r="G249" s="245">
        <v>45958</v>
      </c>
      <c r="H249" s="157">
        <v>45966</v>
      </c>
      <c r="I249" s="155">
        <f t="shared" si="16"/>
        <v>8</v>
      </c>
      <c r="J249" s="158">
        <v>9279</v>
      </c>
      <c r="K249" s="392">
        <v>45819</v>
      </c>
      <c r="L249" s="155" t="s">
        <v>204</v>
      </c>
    </row>
    <row r="250" spans="2:12">
      <c r="B250" s="155" t="s">
        <v>485</v>
      </c>
      <c r="C250" s="155" t="s">
        <v>63</v>
      </c>
      <c r="D250" s="156"/>
      <c r="E250" s="155" t="s">
        <v>64</v>
      </c>
      <c r="F250" s="155" t="s">
        <v>1070</v>
      </c>
      <c r="G250" s="186">
        <v>45959</v>
      </c>
      <c r="H250" s="157">
        <v>45968</v>
      </c>
      <c r="I250" s="155">
        <f t="shared" si="16"/>
        <v>9</v>
      </c>
      <c r="J250" s="161">
        <v>6130</v>
      </c>
      <c r="K250" s="392">
        <v>45941</v>
      </c>
      <c r="L250" s="155" t="s">
        <v>204</v>
      </c>
    </row>
    <row r="251" spans="2:12">
      <c r="B251" s="155" t="s">
        <v>177</v>
      </c>
      <c r="C251" s="155" t="s">
        <v>63</v>
      </c>
      <c r="D251" s="156"/>
      <c r="E251" s="155" t="s">
        <v>64</v>
      </c>
      <c r="F251" s="155" t="s">
        <v>1071</v>
      </c>
      <c r="G251" s="186">
        <v>45959</v>
      </c>
      <c r="H251" s="157">
        <v>45970</v>
      </c>
      <c r="I251" s="155">
        <f t="shared" si="16"/>
        <v>11</v>
      </c>
      <c r="J251" s="161">
        <v>3760</v>
      </c>
      <c r="K251" s="392">
        <v>45971</v>
      </c>
      <c r="L251" s="155" t="s">
        <v>204</v>
      </c>
    </row>
    <row r="252" spans="2:12">
      <c r="B252" s="155" t="s">
        <v>1022</v>
      </c>
      <c r="C252" s="155" t="s">
        <v>63</v>
      </c>
      <c r="D252" s="156"/>
      <c r="E252" s="155" t="s">
        <v>64</v>
      </c>
      <c r="F252" s="155" t="s">
        <v>1074</v>
      </c>
      <c r="G252" s="186">
        <v>45959</v>
      </c>
      <c r="H252" s="157">
        <v>45967</v>
      </c>
      <c r="I252" s="155">
        <f t="shared" si="16"/>
        <v>8</v>
      </c>
      <c r="J252" s="158">
        <v>5530</v>
      </c>
      <c r="K252" s="392">
        <v>45849</v>
      </c>
      <c r="L252" s="155" t="s">
        <v>204</v>
      </c>
    </row>
    <row r="253" spans="2:12">
      <c r="B253" s="155" t="s">
        <v>850</v>
      </c>
      <c r="C253" s="155" t="s">
        <v>56</v>
      </c>
      <c r="D253" s="156"/>
      <c r="E253" s="155" t="s">
        <v>31</v>
      </c>
      <c r="F253" s="155" t="s">
        <v>1078</v>
      </c>
      <c r="G253" s="186">
        <v>45959</v>
      </c>
      <c r="H253" s="157">
        <v>45965</v>
      </c>
      <c r="I253" s="155">
        <f t="shared" si="16"/>
        <v>6</v>
      </c>
      <c r="J253" s="161">
        <v>4300</v>
      </c>
      <c r="K253" s="392">
        <v>45788</v>
      </c>
      <c r="L253" s="155" t="s">
        <v>204</v>
      </c>
    </row>
    <row r="254" spans="2:12">
      <c r="B254" s="155" t="s">
        <v>179</v>
      </c>
      <c r="C254" s="155" t="s">
        <v>56</v>
      </c>
      <c r="D254" s="156"/>
      <c r="E254" s="155" t="s">
        <v>31</v>
      </c>
      <c r="F254" s="155" t="s">
        <v>1079</v>
      </c>
      <c r="G254" s="186">
        <v>45959</v>
      </c>
      <c r="H254" s="157">
        <v>45971</v>
      </c>
      <c r="I254" s="155">
        <f t="shared" ref="I254:I263" si="17">H254-G254</f>
        <v>12</v>
      </c>
      <c r="J254" s="161">
        <v>14110</v>
      </c>
      <c r="K254" s="392">
        <v>45971</v>
      </c>
      <c r="L254" s="155" t="s">
        <v>204</v>
      </c>
    </row>
    <row r="255" spans="2:12">
      <c r="B255" s="155" t="s">
        <v>900</v>
      </c>
      <c r="C255" s="155" t="s">
        <v>56</v>
      </c>
      <c r="D255" s="156"/>
      <c r="E255" s="155" t="s">
        <v>31</v>
      </c>
      <c r="F255" s="155" t="s">
        <v>1080</v>
      </c>
      <c r="G255" s="186">
        <v>45959</v>
      </c>
      <c r="H255" s="157">
        <v>45966</v>
      </c>
      <c r="I255" s="155">
        <f t="shared" si="17"/>
        <v>7</v>
      </c>
      <c r="J255" s="161">
        <v>12450</v>
      </c>
      <c r="K255" s="392">
        <v>45819</v>
      </c>
      <c r="L255" s="155" t="s">
        <v>204</v>
      </c>
    </row>
    <row r="256" spans="2:12">
      <c r="B256" s="155" t="s">
        <v>648</v>
      </c>
      <c r="C256" s="155" t="s">
        <v>432</v>
      </c>
      <c r="D256" s="156"/>
      <c r="E256" s="155" t="s">
        <v>390</v>
      </c>
      <c r="F256" s="163" t="s">
        <v>1091</v>
      </c>
      <c r="G256" s="186">
        <v>45960</v>
      </c>
      <c r="H256" s="157">
        <v>45970</v>
      </c>
      <c r="I256" s="155">
        <f t="shared" si="17"/>
        <v>10</v>
      </c>
      <c r="J256" s="158">
        <v>9830</v>
      </c>
      <c r="K256" s="392">
        <v>45971</v>
      </c>
      <c r="L256" s="155" t="s">
        <v>204</v>
      </c>
    </row>
    <row r="257" spans="2:13">
      <c r="B257" s="155" t="s">
        <v>1092</v>
      </c>
      <c r="C257" s="155" t="s">
        <v>63</v>
      </c>
      <c r="D257" s="156"/>
      <c r="E257" s="155" t="s">
        <v>64</v>
      </c>
      <c r="F257" s="155" t="s">
        <v>1093</v>
      </c>
      <c r="G257" s="186">
        <v>45960</v>
      </c>
      <c r="H257" s="157">
        <v>45970</v>
      </c>
      <c r="I257" s="155">
        <f t="shared" si="17"/>
        <v>10</v>
      </c>
      <c r="J257" s="158">
        <v>69407</v>
      </c>
      <c r="K257" s="156" t="s">
        <v>1308</v>
      </c>
      <c r="L257" s="155" t="s">
        <v>204</v>
      </c>
    </row>
    <row r="258" spans="2:13">
      <c r="B258" s="155" t="s">
        <v>310</v>
      </c>
      <c r="C258" s="155" t="s">
        <v>56</v>
      </c>
      <c r="D258" s="156"/>
      <c r="E258" s="155" t="s">
        <v>31</v>
      </c>
      <c r="F258" s="163" t="s">
        <v>1094</v>
      </c>
      <c r="G258" s="186">
        <v>45960</v>
      </c>
      <c r="H258" s="157">
        <v>45968</v>
      </c>
      <c r="I258" s="155">
        <f t="shared" si="17"/>
        <v>8</v>
      </c>
      <c r="J258" s="158">
        <v>6500</v>
      </c>
      <c r="K258" s="392">
        <v>45941</v>
      </c>
      <c r="L258" s="155" t="s">
        <v>204</v>
      </c>
    </row>
    <row r="259" spans="2:13">
      <c r="B259" s="155" t="s">
        <v>167</v>
      </c>
      <c r="C259" s="155" t="s">
        <v>48</v>
      </c>
      <c r="D259" s="156"/>
      <c r="E259" s="155" t="s">
        <v>26</v>
      </c>
      <c r="F259" s="163" t="s">
        <v>1310</v>
      </c>
      <c r="G259" s="186">
        <v>45960</v>
      </c>
      <c r="H259" s="157">
        <v>45971</v>
      </c>
      <c r="I259" s="155">
        <f t="shared" si="17"/>
        <v>11</v>
      </c>
      <c r="J259" s="158">
        <v>25910</v>
      </c>
      <c r="K259" s="156" t="s">
        <v>1386</v>
      </c>
      <c r="L259" s="155" t="s">
        <v>204</v>
      </c>
    </row>
    <row r="260" spans="2:13">
      <c r="B260" s="155" t="s">
        <v>1098</v>
      </c>
      <c r="C260" s="155" t="s">
        <v>31</v>
      </c>
      <c r="D260" s="156"/>
      <c r="E260" s="155" t="s">
        <v>128</v>
      </c>
      <c r="F260" s="155" t="s">
        <v>1099</v>
      </c>
      <c r="G260" s="186">
        <v>45960</v>
      </c>
      <c r="H260" s="186">
        <v>45960</v>
      </c>
      <c r="I260" s="155">
        <f t="shared" si="17"/>
        <v>0</v>
      </c>
      <c r="J260" s="158">
        <v>47000</v>
      </c>
      <c r="K260" s="392">
        <v>45727</v>
      </c>
      <c r="L260" s="155" t="s">
        <v>204</v>
      </c>
      <c r="M260" t="s">
        <v>1105</v>
      </c>
    </row>
    <row r="261" spans="2:13">
      <c r="B261" s="155" t="s">
        <v>1100</v>
      </c>
      <c r="C261" s="155" t="s">
        <v>31</v>
      </c>
      <c r="D261" s="156"/>
      <c r="E261" s="155" t="s">
        <v>128</v>
      </c>
      <c r="F261" s="155" t="s">
        <v>1101</v>
      </c>
      <c r="G261" s="186">
        <v>45960</v>
      </c>
      <c r="H261" s="157">
        <v>45980</v>
      </c>
      <c r="I261" s="155">
        <f t="shared" si="17"/>
        <v>20</v>
      </c>
      <c r="J261" s="158">
        <v>93159</v>
      </c>
      <c r="K261" s="156" t="s">
        <v>1417</v>
      </c>
      <c r="L261" s="155" t="s">
        <v>204</v>
      </c>
      <c r="M261" t="s">
        <v>1297</v>
      </c>
    </row>
    <row r="262" spans="2:13">
      <c r="B262" s="155" t="s">
        <v>1102</v>
      </c>
      <c r="C262" s="155" t="s">
        <v>31</v>
      </c>
      <c r="D262" s="156"/>
      <c r="E262" s="155" t="s">
        <v>128</v>
      </c>
      <c r="F262" s="155" t="s">
        <v>1103</v>
      </c>
      <c r="G262" s="186">
        <v>45960</v>
      </c>
      <c r="H262" s="157">
        <v>45976</v>
      </c>
      <c r="I262" s="155">
        <f t="shared" si="17"/>
        <v>16</v>
      </c>
      <c r="J262" s="158">
        <v>56180</v>
      </c>
      <c r="K262" s="156" t="s">
        <v>1402</v>
      </c>
      <c r="L262" s="155" t="s">
        <v>204</v>
      </c>
      <c r="M262" t="s">
        <v>1106</v>
      </c>
    </row>
    <row r="263" spans="2:13">
      <c r="B263" s="155" t="s">
        <v>1104</v>
      </c>
      <c r="C263" s="155" t="s">
        <v>31</v>
      </c>
      <c r="D263" s="156"/>
      <c r="E263" s="155" t="s">
        <v>128</v>
      </c>
      <c r="F263" s="155" t="s">
        <v>1107</v>
      </c>
      <c r="G263" s="186">
        <v>45960</v>
      </c>
      <c r="H263" s="157">
        <v>45981</v>
      </c>
      <c r="I263" s="155">
        <f t="shared" si="17"/>
        <v>21</v>
      </c>
      <c r="J263" s="158">
        <v>80480</v>
      </c>
      <c r="K263" s="156" t="s">
        <v>1456</v>
      </c>
      <c r="L263" s="155" t="s">
        <v>204</v>
      </c>
    </row>
    <row r="264" spans="2:13">
      <c r="B264" s="155" t="s">
        <v>1114</v>
      </c>
      <c r="C264" s="155" t="s">
        <v>31</v>
      </c>
      <c r="D264" s="156"/>
      <c r="E264" s="155" t="s">
        <v>128</v>
      </c>
      <c r="F264" s="155" t="s">
        <v>1118</v>
      </c>
      <c r="G264" s="186">
        <v>45960</v>
      </c>
      <c r="H264" s="157">
        <v>45966</v>
      </c>
      <c r="I264" s="155">
        <f t="shared" ref="I264:I277" si="18">H264-G264</f>
        <v>6</v>
      </c>
      <c r="J264" s="161">
        <v>22262</v>
      </c>
      <c r="K264" s="392">
        <v>45788</v>
      </c>
      <c r="L264" s="155" t="s">
        <v>204</v>
      </c>
    </row>
    <row r="265" spans="2:13">
      <c r="B265" s="155" t="s">
        <v>1113</v>
      </c>
      <c r="C265" s="155" t="s">
        <v>31</v>
      </c>
      <c r="D265" s="156"/>
      <c r="E265" s="155" t="s">
        <v>128</v>
      </c>
      <c r="F265" s="155" t="s">
        <v>1108</v>
      </c>
      <c r="G265" s="186">
        <v>45960</v>
      </c>
      <c r="H265" s="157">
        <v>45975</v>
      </c>
      <c r="I265" s="155">
        <f t="shared" si="18"/>
        <v>15</v>
      </c>
      <c r="J265" s="161">
        <v>38677</v>
      </c>
      <c r="K265" s="156" t="s">
        <v>1386</v>
      </c>
      <c r="L265" s="155" t="s">
        <v>204</v>
      </c>
      <c r="M265" t="s">
        <v>1123</v>
      </c>
    </row>
    <row r="266" spans="2:13">
      <c r="B266" s="155" t="s">
        <v>1112</v>
      </c>
      <c r="C266" s="155" t="s">
        <v>31</v>
      </c>
      <c r="D266" s="156"/>
      <c r="E266" s="155" t="s">
        <v>128</v>
      </c>
      <c r="F266" s="155" t="s">
        <v>1109</v>
      </c>
      <c r="G266" s="186">
        <v>45960</v>
      </c>
      <c r="H266" s="157">
        <v>45977</v>
      </c>
      <c r="I266" s="155">
        <f t="shared" si="18"/>
        <v>17</v>
      </c>
      <c r="J266" s="161">
        <v>20000</v>
      </c>
      <c r="K266" s="156" t="s">
        <v>1402</v>
      </c>
      <c r="L266" s="155" t="s">
        <v>204</v>
      </c>
      <c r="M266" t="s">
        <v>1122</v>
      </c>
    </row>
    <row r="267" spans="2:13">
      <c r="B267" s="155" t="s">
        <v>1112</v>
      </c>
      <c r="C267" s="155" t="s">
        <v>31</v>
      </c>
      <c r="D267" s="156"/>
      <c r="E267" s="155" t="s">
        <v>128</v>
      </c>
      <c r="F267" s="155" t="s">
        <v>1110</v>
      </c>
      <c r="G267" s="186">
        <v>45960</v>
      </c>
      <c r="H267" s="157">
        <v>45984</v>
      </c>
      <c r="I267" s="155">
        <f t="shared" si="18"/>
        <v>24</v>
      </c>
      <c r="J267" s="161">
        <v>25000</v>
      </c>
      <c r="K267" s="156" t="s">
        <v>1502</v>
      </c>
      <c r="L267" s="155" t="s">
        <v>204</v>
      </c>
    </row>
    <row r="268" spans="2:13">
      <c r="B268" s="11" t="s">
        <v>1112</v>
      </c>
      <c r="C268" s="11" t="s">
        <v>31</v>
      </c>
      <c r="D268" s="78"/>
      <c r="E268" s="11" t="s">
        <v>128</v>
      </c>
      <c r="F268" s="11" t="s">
        <v>1111</v>
      </c>
      <c r="G268" s="170">
        <v>45960</v>
      </c>
      <c r="H268" s="318">
        <v>45991</v>
      </c>
      <c r="I268" s="11">
        <f t="shared" si="18"/>
        <v>31</v>
      </c>
      <c r="J268" s="99">
        <v>25000</v>
      </c>
      <c r="K268" s="78"/>
      <c r="L268" s="11"/>
    </row>
    <row r="269" spans="2:13">
      <c r="B269" s="155" t="s">
        <v>1114</v>
      </c>
      <c r="C269" s="155" t="s">
        <v>31</v>
      </c>
      <c r="D269" s="156"/>
      <c r="E269" s="155" t="s">
        <v>128</v>
      </c>
      <c r="F269" s="155" t="s">
        <v>1119</v>
      </c>
      <c r="G269" s="186">
        <v>45960</v>
      </c>
      <c r="H269" s="157">
        <v>45969</v>
      </c>
      <c r="I269" s="155">
        <f t="shared" si="18"/>
        <v>9</v>
      </c>
      <c r="J269" s="161">
        <v>22263</v>
      </c>
      <c r="K269" s="392">
        <v>45971</v>
      </c>
      <c r="L269" s="155" t="s">
        <v>204</v>
      </c>
    </row>
    <row r="270" spans="2:13">
      <c r="B270" s="155" t="s">
        <v>1117</v>
      </c>
      <c r="C270" s="155" t="s">
        <v>31</v>
      </c>
      <c r="D270" s="156"/>
      <c r="E270" s="155" t="s">
        <v>128</v>
      </c>
      <c r="F270" s="155" t="s">
        <v>1120</v>
      </c>
      <c r="G270" s="186">
        <v>45961</v>
      </c>
      <c r="H270" s="157">
        <v>45964</v>
      </c>
      <c r="I270" s="155">
        <f t="shared" si="18"/>
        <v>3</v>
      </c>
      <c r="J270" s="158">
        <v>32000</v>
      </c>
      <c r="K270" s="392">
        <v>45758</v>
      </c>
      <c r="L270" s="155" t="s">
        <v>204</v>
      </c>
    </row>
    <row r="271" spans="2:13">
      <c r="B271" s="155" t="s">
        <v>1117</v>
      </c>
      <c r="C271" s="155" t="s">
        <v>31</v>
      </c>
      <c r="D271" s="156"/>
      <c r="E271" s="155" t="s">
        <v>128</v>
      </c>
      <c r="F271" s="155" t="s">
        <v>1121</v>
      </c>
      <c r="G271" s="186">
        <v>45961</v>
      </c>
      <c r="H271" s="157">
        <v>45962</v>
      </c>
      <c r="I271" s="155">
        <f t="shared" si="18"/>
        <v>1</v>
      </c>
      <c r="J271" s="158">
        <v>74000</v>
      </c>
      <c r="K271" s="392">
        <v>45758</v>
      </c>
      <c r="L271" s="155" t="s">
        <v>204</v>
      </c>
    </row>
    <row r="272" spans="2:13">
      <c r="B272" s="155" t="s">
        <v>1126</v>
      </c>
      <c r="C272" s="155" t="s">
        <v>48</v>
      </c>
      <c r="D272" s="156"/>
      <c r="E272" s="155" t="s">
        <v>26</v>
      </c>
      <c r="F272" s="155" t="s">
        <v>1124</v>
      </c>
      <c r="G272" s="186">
        <v>45961</v>
      </c>
      <c r="H272" s="157">
        <v>45967</v>
      </c>
      <c r="I272" s="155">
        <f t="shared" si="18"/>
        <v>6</v>
      </c>
      <c r="J272" s="161">
        <v>6239</v>
      </c>
      <c r="K272" s="392">
        <v>45849</v>
      </c>
      <c r="L272" s="155" t="s">
        <v>204</v>
      </c>
    </row>
    <row r="273" spans="2:12">
      <c r="B273" s="155" t="s">
        <v>480</v>
      </c>
      <c r="C273" s="155" t="s">
        <v>48</v>
      </c>
      <c r="D273" s="156"/>
      <c r="E273" s="155" t="s">
        <v>26</v>
      </c>
      <c r="F273" s="155" t="s">
        <v>1125</v>
      </c>
      <c r="G273" s="186">
        <v>45961</v>
      </c>
      <c r="H273" s="157">
        <v>45973</v>
      </c>
      <c r="I273" s="155">
        <f t="shared" si="18"/>
        <v>12</v>
      </c>
      <c r="J273" s="161">
        <v>8549</v>
      </c>
      <c r="K273" s="156" t="s">
        <v>1308</v>
      </c>
      <c r="L273" s="155" t="s">
        <v>204</v>
      </c>
    </row>
    <row r="274" spans="2:12">
      <c r="B274" s="155" t="s">
        <v>1127</v>
      </c>
      <c r="C274" s="155" t="s">
        <v>31</v>
      </c>
      <c r="D274" s="156"/>
      <c r="E274" s="155" t="s">
        <v>64</v>
      </c>
      <c r="F274" s="155" t="s">
        <v>1128</v>
      </c>
      <c r="G274" s="186">
        <v>45961</v>
      </c>
      <c r="H274" s="157">
        <v>45967</v>
      </c>
      <c r="I274" s="155">
        <f t="shared" si="18"/>
        <v>6</v>
      </c>
      <c r="J274" s="158">
        <v>6000</v>
      </c>
      <c r="K274" s="392">
        <v>45849</v>
      </c>
      <c r="L274" s="155" t="s">
        <v>204</v>
      </c>
    </row>
    <row r="275" spans="2:12">
      <c r="B275" s="155" t="s">
        <v>1135</v>
      </c>
      <c r="C275" s="155" t="s">
        <v>432</v>
      </c>
      <c r="D275" s="156"/>
      <c r="E275" s="155" t="s">
        <v>390</v>
      </c>
      <c r="F275" s="155" t="s">
        <v>1132</v>
      </c>
      <c r="G275" s="186">
        <v>45961</v>
      </c>
      <c r="H275" s="157">
        <v>45973</v>
      </c>
      <c r="I275" s="155">
        <f t="shared" si="18"/>
        <v>12</v>
      </c>
      <c r="J275" s="158">
        <v>11640</v>
      </c>
      <c r="K275" s="156" t="s">
        <v>1308</v>
      </c>
      <c r="L275" s="155" t="s">
        <v>204</v>
      </c>
    </row>
    <row r="276" spans="2:12">
      <c r="B276" s="155" t="s">
        <v>1134</v>
      </c>
      <c r="C276" s="155" t="s">
        <v>432</v>
      </c>
      <c r="D276" s="156"/>
      <c r="E276" s="155" t="s">
        <v>390</v>
      </c>
      <c r="F276" s="155" t="s">
        <v>1133</v>
      </c>
      <c r="G276" s="186">
        <v>45961</v>
      </c>
      <c r="H276" s="157">
        <v>45970</v>
      </c>
      <c r="I276" s="155">
        <f t="shared" si="18"/>
        <v>9</v>
      </c>
      <c r="J276" s="158">
        <v>4228</v>
      </c>
      <c r="K276" s="392">
        <v>45971</v>
      </c>
      <c r="L276" s="155" t="s">
        <v>204</v>
      </c>
    </row>
    <row r="277" spans="2:12">
      <c r="B277" s="155" t="s">
        <v>1139</v>
      </c>
      <c r="C277" s="155" t="s">
        <v>31</v>
      </c>
      <c r="D277" s="156"/>
      <c r="E277" s="155" t="s">
        <v>128</v>
      </c>
      <c r="F277" s="155" t="s">
        <v>1138</v>
      </c>
      <c r="G277" s="186">
        <v>45961</v>
      </c>
      <c r="H277" s="157">
        <v>45975</v>
      </c>
      <c r="I277" s="155">
        <f t="shared" si="18"/>
        <v>14</v>
      </c>
      <c r="J277" s="158">
        <v>53065</v>
      </c>
      <c r="K277" s="156" t="s">
        <v>1386</v>
      </c>
      <c r="L277" s="155" t="s">
        <v>204</v>
      </c>
    </row>
    <row r="278" spans="2:12">
      <c r="B278" s="155" t="s">
        <v>177</v>
      </c>
      <c r="C278" s="155" t="s">
        <v>432</v>
      </c>
      <c r="D278" s="156"/>
      <c r="E278" s="155" t="s">
        <v>390</v>
      </c>
      <c r="F278" s="155" t="s">
        <v>1143</v>
      </c>
      <c r="G278" s="157">
        <v>45962</v>
      </c>
      <c r="H278" s="157">
        <v>45972</v>
      </c>
      <c r="I278" s="155">
        <f t="shared" ref="I278:I287" si="19">H278-G278</f>
        <v>10</v>
      </c>
      <c r="J278" s="158">
        <v>3920</v>
      </c>
      <c r="K278" s="156" t="s">
        <v>1402</v>
      </c>
      <c r="L278" s="155" t="s">
        <v>204</v>
      </c>
    </row>
    <row r="279" spans="2:12">
      <c r="B279" s="155" t="s">
        <v>179</v>
      </c>
      <c r="C279" s="155" t="s">
        <v>48</v>
      </c>
      <c r="D279" s="156"/>
      <c r="E279" s="155" t="s">
        <v>26</v>
      </c>
      <c r="F279" s="155" t="s">
        <v>1144</v>
      </c>
      <c r="G279" s="157">
        <v>45962</v>
      </c>
      <c r="H279" s="157">
        <v>45970</v>
      </c>
      <c r="I279" s="155">
        <f t="shared" si="19"/>
        <v>8</v>
      </c>
      <c r="J279" s="158">
        <v>5962</v>
      </c>
      <c r="K279" s="392">
        <v>45971</v>
      </c>
      <c r="L279" s="155" t="s">
        <v>204</v>
      </c>
    </row>
    <row r="280" spans="2:12">
      <c r="B280" s="155" t="s">
        <v>850</v>
      </c>
      <c r="C280" s="155" t="s">
        <v>48</v>
      </c>
      <c r="D280" s="156"/>
      <c r="E280" s="155" t="s">
        <v>26</v>
      </c>
      <c r="F280" s="155" t="s">
        <v>1145</v>
      </c>
      <c r="G280" s="157">
        <v>45962</v>
      </c>
      <c r="H280" s="157">
        <v>45967</v>
      </c>
      <c r="I280" s="155">
        <f t="shared" si="19"/>
        <v>5</v>
      </c>
      <c r="J280" s="158">
        <v>5500</v>
      </c>
      <c r="K280" s="392">
        <v>45849</v>
      </c>
      <c r="L280" s="155" t="s">
        <v>204</v>
      </c>
    </row>
    <row r="281" spans="2:12">
      <c r="B281" s="155" t="s">
        <v>900</v>
      </c>
      <c r="C281" s="155" t="s">
        <v>48</v>
      </c>
      <c r="D281" s="156"/>
      <c r="E281" s="155" t="s">
        <v>26</v>
      </c>
      <c r="F281" s="155" t="s">
        <v>1146</v>
      </c>
      <c r="G281" s="157">
        <v>45962</v>
      </c>
      <c r="H281" s="157">
        <v>45969</v>
      </c>
      <c r="I281" s="155">
        <f t="shared" si="19"/>
        <v>7</v>
      </c>
      <c r="J281" s="158">
        <v>2230</v>
      </c>
      <c r="K281" s="392">
        <v>45971</v>
      </c>
      <c r="L281" s="155" t="s">
        <v>204</v>
      </c>
    </row>
    <row r="282" spans="2:12">
      <c r="B282" s="155" t="s">
        <v>178</v>
      </c>
      <c r="C282" s="155" t="s">
        <v>63</v>
      </c>
      <c r="D282" s="156"/>
      <c r="E282" s="155" t="s">
        <v>64</v>
      </c>
      <c r="F282" s="155" t="s">
        <v>1150</v>
      </c>
      <c r="G282" s="157">
        <v>45964</v>
      </c>
      <c r="H282" s="157">
        <v>45971</v>
      </c>
      <c r="I282" s="155">
        <f t="shared" si="19"/>
        <v>7</v>
      </c>
      <c r="J282" s="158">
        <v>5866</v>
      </c>
      <c r="K282" s="392">
        <v>45971</v>
      </c>
      <c r="L282" s="155" t="s">
        <v>204</v>
      </c>
    </row>
    <row r="283" spans="2:12">
      <c r="B283" s="155" t="s">
        <v>727</v>
      </c>
      <c r="C283" s="155" t="s">
        <v>48</v>
      </c>
      <c r="D283" s="156"/>
      <c r="E283" s="155" t="s">
        <v>26</v>
      </c>
      <c r="F283" s="155" t="s">
        <v>1153</v>
      </c>
      <c r="G283" s="157">
        <v>45964</v>
      </c>
      <c r="H283" s="157">
        <v>45971</v>
      </c>
      <c r="I283" s="155">
        <f t="shared" si="19"/>
        <v>7</v>
      </c>
      <c r="J283" s="158">
        <v>7590</v>
      </c>
      <c r="K283" s="392">
        <v>45971</v>
      </c>
      <c r="L283" s="155" t="s">
        <v>204</v>
      </c>
    </row>
    <row r="284" spans="2:12">
      <c r="B284" s="155" t="s">
        <v>310</v>
      </c>
      <c r="C284" s="155" t="s">
        <v>48</v>
      </c>
      <c r="D284" s="156"/>
      <c r="E284" s="155" t="s">
        <v>26</v>
      </c>
      <c r="F284" s="155" t="s">
        <v>1151</v>
      </c>
      <c r="G284" s="157">
        <v>45964</v>
      </c>
      <c r="H284" s="157">
        <v>45971</v>
      </c>
      <c r="I284" s="155">
        <f t="shared" si="19"/>
        <v>7</v>
      </c>
      <c r="J284" s="158">
        <v>9000</v>
      </c>
      <c r="K284" s="392">
        <v>46002</v>
      </c>
      <c r="L284" s="155" t="s">
        <v>204</v>
      </c>
    </row>
    <row r="285" spans="2:12">
      <c r="B285" s="155" t="s">
        <v>166</v>
      </c>
      <c r="C285" s="155" t="s">
        <v>48</v>
      </c>
      <c r="D285" s="156"/>
      <c r="E285" s="155" t="s">
        <v>26</v>
      </c>
      <c r="F285" s="155" t="s">
        <v>1152</v>
      </c>
      <c r="G285" s="157">
        <v>45964</v>
      </c>
      <c r="H285" s="157">
        <v>45972</v>
      </c>
      <c r="I285" s="155">
        <f t="shared" si="19"/>
        <v>8</v>
      </c>
      <c r="J285" s="158">
        <v>3169</v>
      </c>
      <c r="K285" s="392">
        <v>45971</v>
      </c>
      <c r="L285" s="155" t="s">
        <v>204</v>
      </c>
    </row>
    <row r="286" spans="2:12">
      <c r="B286" s="155" t="s">
        <v>167</v>
      </c>
      <c r="C286" s="155" t="s">
        <v>56</v>
      </c>
      <c r="D286" s="156"/>
      <c r="E286" s="155" t="s">
        <v>31</v>
      </c>
      <c r="F286" s="155" t="s">
        <v>1154</v>
      </c>
      <c r="G286" s="157">
        <v>45964</v>
      </c>
      <c r="H286" s="157">
        <v>45972</v>
      </c>
      <c r="I286" s="155">
        <f t="shared" si="19"/>
        <v>8</v>
      </c>
      <c r="J286" s="158">
        <v>9970</v>
      </c>
      <c r="K286" s="392">
        <v>46002</v>
      </c>
      <c r="L286" s="155" t="s">
        <v>204</v>
      </c>
    </row>
    <row r="287" spans="2:12">
      <c r="B287" s="155" t="s">
        <v>109</v>
      </c>
      <c r="C287" s="155" t="s">
        <v>31</v>
      </c>
      <c r="D287" s="156"/>
      <c r="E287" s="155" t="s">
        <v>128</v>
      </c>
      <c r="F287" s="155" t="s">
        <v>1415</v>
      </c>
      <c r="G287" s="157">
        <v>45964</v>
      </c>
      <c r="H287" s="157">
        <v>45976</v>
      </c>
      <c r="I287" s="155">
        <f t="shared" si="19"/>
        <v>12</v>
      </c>
      <c r="J287" s="158">
        <v>29051</v>
      </c>
      <c r="K287" s="156" t="s">
        <v>1456</v>
      </c>
      <c r="L287" s="155" t="s">
        <v>204</v>
      </c>
    </row>
    <row r="288" spans="2:12">
      <c r="B288" s="155" t="s">
        <v>203</v>
      </c>
      <c r="C288" s="155" t="s">
        <v>63</v>
      </c>
      <c r="D288" s="156"/>
      <c r="E288" s="155" t="s">
        <v>64</v>
      </c>
      <c r="F288" s="155" t="s">
        <v>1157</v>
      </c>
      <c r="G288" s="157">
        <v>45965</v>
      </c>
      <c r="H288" s="157">
        <v>45975</v>
      </c>
      <c r="I288" s="155">
        <f t="shared" ref="I288:I307" si="20">H288-G288</f>
        <v>10</v>
      </c>
      <c r="J288" s="158">
        <v>11220</v>
      </c>
      <c r="K288" s="156" t="s">
        <v>1386</v>
      </c>
      <c r="L288" s="155" t="s">
        <v>204</v>
      </c>
    </row>
    <row r="289" spans="2:12">
      <c r="B289" s="155" t="s">
        <v>1160</v>
      </c>
      <c r="C289" s="155" t="s">
        <v>48</v>
      </c>
      <c r="D289" s="156"/>
      <c r="E289" s="155" t="s">
        <v>26</v>
      </c>
      <c r="F289" s="155" t="s">
        <v>1159</v>
      </c>
      <c r="G289" s="157">
        <v>45965</v>
      </c>
      <c r="H289" s="157">
        <v>45969</v>
      </c>
      <c r="I289" s="155">
        <f t="shared" si="20"/>
        <v>4</v>
      </c>
      <c r="J289" s="158">
        <v>7500</v>
      </c>
      <c r="K289" s="392">
        <v>45971</v>
      </c>
      <c r="L289" s="155" t="s">
        <v>204</v>
      </c>
    </row>
    <row r="290" spans="2:12">
      <c r="B290" s="155" t="s">
        <v>891</v>
      </c>
      <c r="C290" s="155" t="s">
        <v>432</v>
      </c>
      <c r="D290" s="156"/>
      <c r="E290" s="155" t="s">
        <v>390</v>
      </c>
      <c r="F290" s="155" t="s">
        <v>1161</v>
      </c>
      <c r="G290" s="157">
        <v>45965</v>
      </c>
      <c r="H290" s="157">
        <v>45973</v>
      </c>
      <c r="I290" s="155">
        <f t="shared" si="20"/>
        <v>8</v>
      </c>
      <c r="J290" s="158">
        <v>10000</v>
      </c>
      <c r="K290" s="156" t="s">
        <v>1308</v>
      </c>
      <c r="L290" s="155" t="s">
        <v>204</v>
      </c>
    </row>
    <row r="291" spans="2:12">
      <c r="B291" s="155" t="s">
        <v>426</v>
      </c>
      <c r="C291" s="155" t="s">
        <v>63</v>
      </c>
      <c r="D291" s="156"/>
      <c r="E291" s="155" t="s">
        <v>64</v>
      </c>
      <c r="F291" s="155" t="s">
        <v>1162</v>
      </c>
      <c r="G291" s="157">
        <v>45965</v>
      </c>
      <c r="H291" s="157">
        <v>45975</v>
      </c>
      <c r="I291" s="155">
        <f t="shared" si="20"/>
        <v>10</v>
      </c>
      <c r="J291" s="158">
        <v>5128</v>
      </c>
      <c r="K291" s="156" t="s">
        <v>1386</v>
      </c>
      <c r="L291" s="155" t="s">
        <v>204</v>
      </c>
    </row>
    <row r="292" spans="2:12">
      <c r="B292" s="155" t="s">
        <v>1167</v>
      </c>
      <c r="C292" s="155" t="s">
        <v>56</v>
      </c>
      <c r="D292" s="156"/>
      <c r="E292" s="155" t="s">
        <v>31</v>
      </c>
      <c r="F292" s="155" t="s">
        <v>1163</v>
      </c>
      <c r="G292" s="157">
        <v>45965</v>
      </c>
      <c r="H292" s="157">
        <v>45971</v>
      </c>
      <c r="I292" s="155">
        <f t="shared" si="20"/>
        <v>6</v>
      </c>
      <c r="J292" s="161">
        <v>3200</v>
      </c>
      <c r="K292" s="392">
        <v>45971</v>
      </c>
      <c r="L292" s="155" t="s">
        <v>204</v>
      </c>
    </row>
    <row r="293" spans="2:12">
      <c r="B293" s="155" t="s">
        <v>728</v>
      </c>
      <c r="C293" s="155" t="s">
        <v>56</v>
      </c>
      <c r="D293" s="156"/>
      <c r="E293" s="155" t="s">
        <v>31</v>
      </c>
      <c r="F293" s="155" t="s">
        <v>1164</v>
      </c>
      <c r="G293" s="157">
        <v>45965</v>
      </c>
      <c r="H293" s="157">
        <v>45975</v>
      </c>
      <c r="I293" s="155">
        <f t="shared" si="20"/>
        <v>10</v>
      </c>
      <c r="J293" s="161">
        <v>7000</v>
      </c>
      <c r="K293" s="156" t="s">
        <v>1386</v>
      </c>
      <c r="L293" s="155" t="s">
        <v>204</v>
      </c>
    </row>
    <row r="294" spans="2:12">
      <c r="B294" s="155" t="s">
        <v>891</v>
      </c>
      <c r="C294" s="155" t="s">
        <v>63</v>
      </c>
      <c r="D294" s="156"/>
      <c r="E294" s="155" t="s">
        <v>64</v>
      </c>
      <c r="F294" s="155" t="s">
        <v>1168</v>
      </c>
      <c r="G294" s="157">
        <v>45965</v>
      </c>
      <c r="H294" s="157">
        <v>45971</v>
      </c>
      <c r="I294" s="155">
        <f t="shared" si="20"/>
        <v>6</v>
      </c>
      <c r="J294" s="158">
        <v>15000</v>
      </c>
      <c r="K294" s="392">
        <v>45971</v>
      </c>
      <c r="L294" s="155" t="s">
        <v>204</v>
      </c>
    </row>
    <row r="295" spans="2:12">
      <c r="B295" s="155" t="s">
        <v>1047</v>
      </c>
      <c r="C295" s="155" t="s">
        <v>31</v>
      </c>
      <c r="D295" s="156"/>
      <c r="E295" s="155" t="s">
        <v>128</v>
      </c>
      <c r="F295" s="155" t="s">
        <v>1169</v>
      </c>
      <c r="G295" s="157">
        <v>45965</v>
      </c>
      <c r="H295" s="157">
        <v>45962</v>
      </c>
      <c r="I295" s="155">
        <f t="shared" si="20"/>
        <v>-3</v>
      </c>
      <c r="J295" s="158">
        <v>138610</v>
      </c>
      <c r="K295" s="392">
        <v>45819</v>
      </c>
      <c r="L295" s="155" t="s">
        <v>204</v>
      </c>
    </row>
    <row r="296" spans="2:12">
      <c r="B296" s="155" t="s">
        <v>1047</v>
      </c>
      <c r="C296" s="155" t="s">
        <v>31</v>
      </c>
      <c r="D296" s="156"/>
      <c r="E296" s="155" t="s">
        <v>128</v>
      </c>
      <c r="F296" s="155" t="s">
        <v>1170</v>
      </c>
      <c r="G296" s="157">
        <v>45965</v>
      </c>
      <c r="H296" s="157">
        <v>45965</v>
      </c>
      <c r="I296" s="155">
        <f t="shared" si="20"/>
        <v>0</v>
      </c>
      <c r="J296" s="158">
        <v>50000</v>
      </c>
      <c r="K296" s="392">
        <v>45788</v>
      </c>
      <c r="L296" s="155" t="s">
        <v>204</v>
      </c>
    </row>
    <row r="297" spans="2:12">
      <c r="B297" s="155" t="s">
        <v>1047</v>
      </c>
      <c r="C297" s="155" t="s">
        <v>31</v>
      </c>
      <c r="D297" s="156"/>
      <c r="E297" s="155" t="s">
        <v>128</v>
      </c>
      <c r="F297" s="155" t="s">
        <v>1171</v>
      </c>
      <c r="G297" s="157">
        <v>45965</v>
      </c>
      <c r="H297" s="157">
        <v>45966</v>
      </c>
      <c r="I297" s="155">
        <f t="shared" si="20"/>
        <v>1</v>
      </c>
      <c r="J297" s="158">
        <v>130000</v>
      </c>
      <c r="K297" s="392">
        <v>45819</v>
      </c>
      <c r="L297" s="155" t="s">
        <v>204</v>
      </c>
    </row>
    <row r="298" spans="2:12">
      <c r="B298" s="155" t="s">
        <v>1047</v>
      </c>
      <c r="C298" s="155" t="s">
        <v>31</v>
      </c>
      <c r="D298" s="156"/>
      <c r="E298" s="155" t="s">
        <v>128</v>
      </c>
      <c r="F298" s="155" t="s">
        <v>1172</v>
      </c>
      <c r="G298" s="157">
        <v>45965</v>
      </c>
      <c r="H298" s="157">
        <v>45967</v>
      </c>
      <c r="I298" s="155">
        <f t="shared" si="20"/>
        <v>2</v>
      </c>
      <c r="J298" s="158">
        <v>40000</v>
      </c>
      <c r="K298" s="392">
        <v>45849</v>
      </c>
      <c r="L298" s="155" t="s">
        <v>204</v>
      </c>
    </row>
    <row r="299" spans="2:12">
      <c r="B299" s="155" t="s">
        <v>1175</v>
      </c>
      <c r="C299" s="155" t="s">
        <v>432</v>
      </c>
      <c r="D299" s="156"/>
      <c r="E299" s="155" t="s">
        <v>390</v>
      </c>
      <c r="F299" s="155" t="s">
        <v>1176</v>
      </c>
      <c r="G299" s="157">
        <v>45966</v>
      </c>
      <c r="H299" s="157">
        <v>45972</v>
      </c>
      <c r="I299" s="155">
        <f t="shared" si="20"/>
        <v>6</v>
      </c>
      <c r="J299" s="158">
        <v>6011</v>
      </c>
      <c r="K299" s="392">
        <v>46002</v>
      </c>
      <c r="L299" s="155" t="s">
        <v>204</v>
      </c>
    </row>
    <row r="300" spans="2:12">
      <c r="B300" s="155" t="s">
        <v>179</v>
      </c>
      <c r="C300" s="155" t="s">
        <v>56</v>
      </c>
      <c r="D300" s="156"/>
      <c r="E300" s="155" t="s">
        <v>31</v>
      </c>
      <c r="F300" s="163" t="s">
        <v>1178</v>
      </c>
      <c r="G300" s="157">
        <v>45966</v>
      </c>
      <c r="H300" s="157">
        <v>45977</v>
      </c>
      <c r="I300" s="155">
        <f t="shared" si="20"/>
        <v>11</v>
      </c>
      <c r="J300" s="158">
        <v>14314</v>
      </c>
      <c r="K300" s="156" t="s">
        <v>1402</v>
      </c>
      <c r="L300" s="155" t="s">
        <v>204</v>
      </c>
    </row>
    <row r="301" spans="2:12">
      <c r="B301" s="155" t="s">
        <v>177</v>
      </c>
      <c r="C301" s="155" t="s">
        <v>63</v>
      </c>
      <c r="D301" s="156"/>
      <c r="E301" s="155" t="s">
        <v>64</v>
      </c>
      <c r="F301" s="155" t="s">
        <v>1180</v>
      </c>
      <c r="G301" s="157">
        <v>45966</v>
      </c>
      <c r="H301" s="157">
        <v>45976</v>
      </c>
      <c r="I301" s="155">
        <f t="shared" si="20"/>
        <v>10</v>
      </c>
      <c r="J301" s="158">
        <v>7220</v>
      </c>
      <c r="K301" s="156" t="s">
        <v>1475</v>
      </c>
      <c r="L301" s="155" t="s">
        <v>204</v>
      </c>
    </row>
    <row r="302" spans="2:12">
      <c r="B302" s="155" t="s">
        <v>39</v>
      </c>
      <c r="C302" s="155" t="s">
        <v>63</v>
      </c>
      <c r="D302" s="156"/>
      <c r="E302" s="155" t="s">
        <v>64</v>
      </c>
      <c r="F302" s="155" t="s">
        <v>1181</v>
      </c>
      <c r="G302" s="157">
        <v>45966</v>
      </c>
      <c r="H302" s="157">
        <v>45976</v>
      </c>
      <c r="I302" s="155">
        <f t="shared" si="20"/>
        <v>10</v>
      </c>
      <c r="J302" s="158">
        <v>11514</v>
      </c>
      <c r="K302" s="156" t="s">
        <v>1402</v>
      </c>
      <c r="L302" s="155" t="s">
        <v>204</v>
      </c>
    </row>
    <row r="303" spans="2:12">
      <c r="B303" s="155" t="s">
        <v>485</v>
      </c>
      <c r="C303" s="155" t="s">
        <v>63</v>
      </c>
      <c r="D303" s="156"/>
      <c r="E303" s="155" t="s">
        <v>64</v>
      </c>
      <c r="F303" s="155" t="s">
        <v>1185</v>
      </c>
      <c r="G303" s="157">
        <v>45967</v>
      </c>
      <c r="H303" s="157">
        <v>45975</v>
      </c>
      <c r="I303" s="155">
        <f t="shared" si="20"/>
        <v>8</v>
      </c>
      <c r="J303" s="158">
        <v>6178</v>
      </c>
      <c r="K303" s="156" t="s">
        <v>1386</v>
      </c>
      <c r="L303" s="155" t="s">
        <v>204</v>
      </c>
    </row>
    <row r="304" spans="2:12">
      <c r="B304" s="155" t="s">
        <v>1135</v>
      </c>
      <c r="C304" s="155" t="s">
        <v>63</v>
      </c>
      <c r="D304" s="156"/>
      <c r="E304" s="155" t="s">
        <v>64</v>
      </c>
      <c r="F304" s="155" t="s">
        <v>1186</v>
      </c>
      <c r="G304" s="157">
        <v>45967</v>
      </c>
      <c r="H304" s="157">
        <v>45979</v>
      </c>
      <c r="I304" s="155">
        <f t="shared" si="20"/>
        <v>12</v>
      </c>
      <c r="J304" s="158">
        <v>18900</v>
      </c>
      <c r="K304" s="156" t="s">
        <v>1408</v>
      </c>
      <c r="L304" s="155" t="s">
        <v>204</v>
      </c>
    </row>
    <row r="305" spans="2:13">
      <c r="B305" s="155" t="s">
        <v>800</v>
      </c>
      <c r="C305" s="155" t="s">
        <v>56</v>
      </c>
      <c r="D305" s="156"/>
      <c r="E305" s="155" t="s">
        <v>31</v>
      </c>
      <c r="F305" s="155" t="s">
        <v>1187</v>
      </c>
      <c r="G305" s="157">
        <v>45967</v>
      </c>
      <c r="H305" s="157">
        <v>45975</v>
      </c>
      <c r="I305" s="155">
        <f t="shared" si="20"/>
        <v>8</v>
      </c>
      <c r="J305" s="158">
        <v>5091</v>
      </c>
      <c r="K305" s="156" t="s">
        <v>1386</v>
      </c>
      <c r="L305" s="155" t="s">
        <v>204</v>
      </c>
    </row>
    <row r="306" spans="2:13">
      <c r="B306" s="155" t="s">
        <v>870</v>
      </c>
      <c r="C306" s="155" t="s">
        <v>56</v>
      </c>
      <c r="D306" s="156"/>
      <c r="E306" s="155" t="s">
        <v>31</v>
      </c>
      <c r="F306" s="155" t="s">
        <v>1188</v>
      </c>
      <c r="G306" s="157">
        <v>45967</v>
      </c>
      <c r="H306" s="157">
        <v>45975</v>
      </c>
      <c r="I306" s="155">
        <f t="shared" si="20"/>
        <v>8</v>
      </c>
      <c r="J306" s="158">
        <v>11058</v>
      </c>
      <c r="K306" s="156" t="s">
        <v>1386</v>
      </c>
      <c r="L306" s="155" t="s">
        <v>204</v>
      </c>
    </row>
    <row r="307" spans="2:13">
      <c r="B307" s="155" t="s">
        <v>557</v>
      </c>
      <c r="C307" s="155" t="s">
        <v>48</v>
      </c>
      <c r="D307" s="156"/>
      <c r="E307" s="155" t="s">
        <v>26</v>
      </c>
      <c r="F307" s="155" t="s">
        <v>1189</v>
      </c>
      <c r="G307" s="157">
        <v>45967</v>
      </c>
      <c r="H307" s="157">
        <v>45973</v>
      </c>
      <c r="I307" s="155">
        <f t="shared" si="20"/>
        <v>6</v>
      </c>
      <c r="J307" s="158">
        <v>7000</v>
      </c>
      <c r="K307" s="156" t="s">
        <v>1308</v>
      </c>
      <c r="L307" s="155" t="s">
        <v>204</v>
      </c>
    </row>
    <row r="308" spans="2:13">
      <c r="B308" s="155" t="s">
        <v>1212</v>
      </c>
      <c r="C308" s="155" t="s">
        <v>48</v>
      </c>
      <c r="D308" s="156"/>
      <c r="E308" s="155" t="s">
        <v>26</v>
      </c>
      <c r="F308" s="155" t="s">
        <v>1401</v>
      </c>
      <c r="G308" s="157">
        <v>45967</v>
      </c>
      <c r="H308" s="157">
        <v>45980</v>
      </c>
      <c r="I308" s="155">
        <f t="shared" ref="I308:I312" si="21">H308-G308</f>
        <v>13</v>
      </c>
      <c r="J308" s="158">
        <v>15753</v>
      </c>
      <c r="K308" s="156" t="s">
        <v>1417</v>
      </c>
      <c r="L308" s="155" t="s">
        <v>204</v>
      </c>
    </row>
    <row r="309" spans="2:13">
      <c r="B309" s="155" t="s">
        <v>1196</v>
      </c>
      <c r="C309" s="155" t="s">
        <v>31</v>
      </c>
      <c r="D309" s="156"/>
      <c r="E309" s="155" t="s">
        <v>128</v>
      </c>
      <c r="F309" s="155" t="s">
        <v>1504</v>
      </c>
      <c r="G309" s="157">
        <v>45967</v>
      </c>
      <c r="H309" s="157">
        <v>45982</v>
      </c>
      <c r="I309" s="155">
        <f t="shared" si="21"/>
        <v>15</v>
      </c>
      <c r="J309" s="158">
        <v>25921</v>
      </c>
      <c r="K309" s="156" t="s">
        <v>1538</v>
      </c>
      <c r="L309" s="155" t="s">
        <v>204</v>
      </c>
      <c r="M309" t="s">
        <v>1195</v>
      </c>
    </row>
    <row r="310" spans="2:13">
      <c r="B310" s="155" t="s">
        <v>1197</v>
      </c>
      <c r="C310" s="155" t="s">
        <v>31</v>
      </c>
      <c r="D310" s="156"/>
      <c r="E310" s="155" t="s">
        <v>128</v>
      </c>
      <c r="F310" s="155" t="s">
        <v>1190</v>
      </c>
      <c r="G310" s="157">
        <v>45967</v>
      </c>
      <c r="H310" s="157">
        <v>45980</v>
      </c>
      <c r="I310" s="155">
        <f t="shared" si="21"/>
        <v>13</v>
      </c>
      <c r="J310" s="158">
        <v>15000</v>
      </c>
      <c r="K310" s="156" t="s">
        <v>1417</v>
      </c>
      <c r="L310" s="155" t="s">
        <v>204</v>
      </c>
    </row>
    <row r="311" spans="2:13">
      <c r="B311" s="155" t="s">
        <v>1197</v>
      </c>
      <c r="C311" s="155" t="s">
        <v>31</v>
      </c>
      <c r="D311" s="156"/>
      <c r="E311" s="155" t="s">
        <v>128</v>
      </c>
      <c r="F311" s="155" t="s">
        <v>1191</v>
      </c>
      <c r="G311" s="157">
        <v>45967</v>
      </c>
      <c r="H311" s="157">
        <v>45974</v>
      </c>
      <c r="I311" s="155">
        <f t="shared" si="21"/>
        <v>7</v>
      </c>
      <c r="J311" s="158">
        <v>20691</v>
      </c>
      <c r="K311" s="156" t="s">
        <v>1347</v>
      </c>
      <c r="L311" s="155" t="s">
        <v>204</v>
      </c>
    </row>
    <row r="312" spans="2:13">
      <c r="B312" s="155" t="s">
        <v>1197</v>
      </c>
      <c r="C312" s="155" t="s">
        <v>31</v>
      </c>
      <c r="D312" s="156"/>
      <c r="E312" s="155" t="s">
        <v>128</v>
      </c>
      <c r="F312" s="155" t="s">
        <v>1192</v>
      </c>
      <c r="G312" s="157">
        <v>45967</v>
      </c>
      <c r="H312" s="157">
        <v>45975</v>
      </c>
      <c r="I312" s="155">
        <f t="shared" si="21"/>
        <v>8</v>
      </c>
      <c r="J312" s="158">
        <v>15000</v>
      </c>
      <c r="K312" s="156" t="s">
        <v>1386</v>
      </c>
      <c r="L312" s="155" t="s">
        <v>204</v>
      </c>
    </row>
    <row r="313" spans="2:13">
      <c r="B313" s="156" t="s">
        <v>1198</v>
      </c>
      <c r="C313" s="155" t="s">
        <v>31</v>
      </c>
      <c r="D313" s="156"/>
      <c r="E313" s="155" t="s">
        <v>128</v>
      </c>
      <c r="F313" s="155" t="s">
        <v>1199</v>
      </c>
      <c r="G313" s="157">
        <v>45967</v>
      </c>
      <c r="H313" s="157">
        <v>45976</v>
      </c>
      <c r="I313" s="155">
        <f t="shared" ref="I313:I314" si="22">H313-G313</f>
        <v>9</v>
      </c>
      <c r="J313" s="158">
        <v>33200</v>
      </c>
      <c r="K313" s="156" t="s">
        <v>1417</v>
      </c>
      <c r="L313" s="155" t="s">
        <v>204</v>
      </c>
    </row>
    <row r="314" spans="2:13">
      <c r="B314" s="78" t="s">
        <v>1198</v>
      </c>
      <c r="C314" s="11" t="s">
        <v>31</v>
      </c>
      <c r="D314" s="78"/>
      <c r="E314" s="11" t="s">
        <v>128</v>
      </c>
      <c r="F314" s="11" t="s">
        <v>1200</v>
      </c>
      <c r="G314" s="318">
        <v>45967</v>
      </c>
      <c r="H314" s="318">
        <v>45979</v>
      </c>
      <c r="I314" s="11">
        <f t="shared" si="22"/>
        <v>12</v>
      </c>
      <c r="J314" s="29">
        <v>33300</v>
      </c>
      <c r="K314" s="78"/>
      <c r="L314" s="11"/>
      <c r="M314" t="s">
        <v>1514</v>
      </c>
    </row>
    <row r="315" spans="2:13">
      <c r="B315" s="78" t="s">
        <v>1198</v>
      </c>
      <c r="C315" s="11" t="s">
        <v>31</v>
      </c>
      <c r="D315" s="78"/>
      <c r="E315" s="11" t="s">
        <v>128</v>
      </c>
      <c r="F315" s="11" t="s">
        <v>1201</v>
      </c>
      <c r="G315" s="318">
        <v>45967</v>
      </c>
      <c r="H315" s="318">
        <v>45986</v>
      </c>
      <c r="I315" s="11">
        <f t="shared" ref="I315:I335" si="23">H315-G315</f>
        <v>19</v>
      </c>
      <c r="J315" s="29">
        <v>33400</v>
      </c>
      <c r="K315" s="78"/>
      <c r="L315" s="11"/>
      <c r="M315" t="s">
        <v>1515</v>
      </c>
    </row>
    <row r="316" spans="2:13">
      <c r="B316" s="156" t="s">
        <v>1198</v>
      </c>
      <c r="C316" s="155" t="s">
        <v>31</v>
      </c>
      <c r="D316" s="156"/>
      <c r="E316" s="155" t="s">
        <v>128</v>
      </c>
      <c r="F316" s="155" t="s">
        <v>1202</v>
      </c>
      <c r="G316" s="157">
        <v>45967</v>
      </c>
      <c r="H316" s="157">
        <v>45988</v>
      </c>
      <c r="I316" s="155">
        <f t="shared" si="23"/>
        <v>21</v>
      </c>
      <c r="J316" s="158">
        <v>33500</v>
      </c>
      <c r="K316" s="156" t="s">
        <v>1550</v>
      </c>
      <c r="L316" s="155" t="s">
        <v>204</v>
      </c>
    </row>
    <row r="317" spans="2:13">
      <c r="B317" s="78" t="s">
        <v>1198</v>
      </c>
      <c r="C317" s="11" t="s">
        <v>31</v>
      </c>
      <c r="D317" s="78"/>
      <c r="E317" s="11" t="s">
        <v>128</v>
      </c>
      <c r="F317" s="11" t="s">
        <v>1544</v>
      </c>
      <c r="G317" s="318">
        <v>45967</v>
      </c>
      <c r="H317" s="318">
        <v>45990</v>
      </c>
      <c r="I317" s="11">
        <f t="shared" si="23"/>
        <v>23</v>
      </c>
      <c r="J317" s="29">
        <v>33200</v>
      </c>
      <c r="K317" s="78"/>
      <c r="L317" s="11"/>
    </row>
    <row r="318" spans="2:13">
      <c r="B318" s="155" t="s">
        <v>1203</v>
      </c>
      <c r="C318" s="155" t="s">
        <v>31</v>
      </c>
      <c r="D318" s="156"/>
      <c r="E318" s="155" t="s">
        <v>128</v>
      </c>
      <c r="F318" s="155" t="s">
        <v>1205</v>
      </c>
      <c r="G318" s="157">
        <v>45967</v>
      </c>
      <c r="H318" s="157">
        <v>45981</v>
      </c>
      <c r="I318" s="155">
        <f t="shared" si="23"/>
        <v>14</v>
      </c>
      <c r="J318" s="158">
        <v>28529</v>
      </c>
      <c r="K318" s="156" t="s">
        <v>1456</v>
      </c>
      <c r="L318" s="155" t="s">
        <v>204</v>
      </c>
    </row>
    <row r="319" spans="2:13">
      <c r="B319" s="155" t="s">
        <v>1206</v>
      </c>
      <c r="C319" s="155" t="s">
        <v>31</v>
      </c>
      <c r="D319" s="156"/>
      <c r="E319" s="155" t="s">
        <v>128</v>
      </c>
      <c r="F319" s="155" t="s">
        <v>1204</v>
      </c>
      <c r="G319" s="157">
        <v>45967</v>
      </c>
      <c r="H319" s="157">
        <v>45973</v>
      </c>
      <c r="I319" s="155">
        <f t="shared" si="23"/>
        <v>6</v>
      </c>
      <c r="J319" s="158">
        <v>47445</v>
      </c>
      <c r="K319" s="156" t="s">
        <v>1308</v>
      </c>
      <c r="L319" s="155" t="s">
        <v>204</v>
      </c>
    </row>
    <row r="320" spans="2:13">
      <c r="B320" s="155" t="s">
        <v>1207</v>
      </c>
      <c r="C320" s="155" t="s">
        <v>31</v>
      </c>
      <c r="D320" s="156"/>
      <c r="E320" s="155" t="s">
        <v>128</v>
      </c>
      <c r="F320" s="155" t="s">
        <v>1208</v>
      </c>
      <c r="G320" s="157">
        <v>45967</v>
      </c>
      <c r="H320" s="157">
        <v>45983</v>
      </c>
      <c r="I320" s="155">
        <f t="shared" si="23"/>
        <v>16</v>
      </c>
      <c r="J320" s="158">
        <v>32380</v>
      </c>
      <c r="K320" s="156" t="s">
        <v>1502</v>
      </c>
      <c r="L320" s="155" t="s">
        <v>204</v>
      </c>
    </row>
    <row r="321" spans="2:12">
      <c r="B321" s="155" t="s">
        <v>1207</v>
      </c>
      <c r="C321" s="155" t="s">
        <v>31</v>
      </c>
      <c r="D321" s="156"/>
      <c r="E321" s="155" t="s">
        <v>128</v>
      </c>
      <c r="F321" s="155" t="s">
        <v>1209</v>
      </c>
      <c r="G321" s="157">
        <v>45967</v>
      </c>
      <c r="H321" s="157">
        <v>45979</v>
      </c>
      <c r="I321" s="155">
        <f t="shared" si="23"/>
        <v>12</v>
      </c>
      <c r="J321" s="158">
        <v>30000</v>
      </c>
      <c r="K321" s="156" t="s">
        <v>1408</v>
      </c>
      <c r="L321" s="155" t="s">
        <v>204</v>
      </c>
    </row>
    <row r="322" spans="2:12">
      <c r="B322" s="155" t="s">
        <v>1207</v>
      </c>
      <c r="C322" s="155" t="s">
        <v>31</v>
      </c>
      <c r="D322" s="156"/>
      <c r="E322" s="155" t="s">
        <v>128</v>
      </c>
      <c r="F322" s="155" t="s">
        <v>1210</v>
      </c>
      <c r="G322" s="157">
        <v>45967</v>
      </c>
      <c r="H322" s="157">
        <v>45976</v>
      </c>
      <c r="I322" s="155">
        <f t="shared" si="23"/>
        <v>9</v>
      </c>
      <c r="J322" s="158">
        <v>30000</v>
      </c>
      <c r="K322" s="156" t="s">
        <v>1402</v>
      </c>
      <c r="L322" s="155" t="s">
        <v>204</v>
      </c>
    </row>
    <row r="323" spans="2:12">
      <c r="B323" s="155" t="s">
        <v>1047</v>
      </c>
      <c r="C323" s="155" t="s">
        <v>31</v>
      </c>
      <c r="D323" s="156"/>
      <c r="E323" s="155" t="s">
        <v>128</v>
      </c>
      <c r="F323" s="155" t="s">
        <v>1220</v>
      </c>
      <c r="G323" s="157">
        <v>45968</v>
      </c>
      <c r="H323" s="157">
        <v>45967</v>
      </c>
      <c r="I323" s="155">
        <f t="shared" si="23"/>
        <v>-1</v>
      </c>
      <c r="J323" s="158">
        <v>25500</v>
      </c>
      <c r="K323" s="392">
        <v>45971</v>
      </c>
      <c r="L323" s="155" t="s">
        <v>204</v>
      </c>
    </row>
    <row r="324" spans="2:12">
      <c r="B324" s="155" t="s">
        <v>1047</v>
      </c>
      <c r="C324" s="155" t="s">
        <v>31</v>
      </c>
      <c r="D324" s="156"/>
      <c r="E324" s="155" t="s">
        <v>128</v>
      </c>
      <c r="F324" s="155" t="s">
        <v>1221</v>
      </c>
      <c r="G324" s="157">
        <v>45968</v>
      </c>
      <c r="H324" s="157">
        <v>45963</v>
      </c>
      <c r="I324" s="155">
        <f t="shared" si="23"/>
        <v>-5</v>
      </c>
      <c r="J324" s="158">
        <v>14500</v>
      </c>
      <c r="K324" s="156" t="s">
        <v>1308</v>
      </c>
      <c r="L324" s="155" t="s">
        <v>204</v>
      </c>
    </row>
    <row r="325" spans="2:12">
      <c r="B325" s="155" t="s">
        <v>480</v>
      </c>
      <c r="C325" s="155" t="s">
        <v>48</v>
      </c>
      <c r="D325" s="156"/>
      <c r="E325" s="155" t="s">
        <v>26</v>
      </c>
      <c r="F325" s="163" t="s">
        <v>1222</v>
      </c>
      <c r="G325" s="157">
        <v>45968</v>
      </c>
      <c r="H325" s="157">
        <v>45974</v>
      </c>
      <c r="I325" s="155">
        <f t="shared" si="23"/>
        <v>6</v>
      </c>
      <c r="J325" s="158">
        <v>8260</v>
      </c>
      <c r="K325" s="156" t="s">
        <v>1347</v>
      </c>
      <c r="L325" s="155" t="s">
        <v>204</v>
      </c>
    </row>
    <row r="326" spans="2:12">
      <c r="B326" s="155" t="s">
        <v>426</v>
      </c>
      <c r="C326" s="155" t="s">
        <v>432</v>
      </c>
      <c r="D326" s="156"/>
      <c r="E326" s="155" t="s">
        <v>390</v>
      </c>
      <c r="F326" s="163" t="s">
        <v>1223</v>
      </c>
      <c r="G326" s="157">
        <v>45968</v>
      </c>
      <c r="H326" s="157">
        <v>45976</v>
      </c>
      <c r="I326" s="155">
        <f t="shared" si="23"/>
        <v>8</v>
      </c>
      <c r="J326" s="158">
        <v>10349</v>
      </c>
      <c r="K326" s="156" t="s">
        <v>1402</v>
      </c>
      <c r="L326" s="155" t="s">
        <v>204</v>
      </c>
    </row>
    <row r="327" spans="2:12">
      <c r="B327" s="155" t="s">
        <v>1224</v>
      </c>
      <c r="C327" s="155" t="s">
        <v>31</v>
      </c>
      <c r="D327" s="156"/>
      <c r="E327" s="155" t="s">
        <v>128</v>
      </c>
      <c r="F327" s="155" t="s">
        <v>1225</v>
      </c>
      <c r="G327" s="157">
        <v>45968</v>
      </c>
      <c r="H327" s="157">
        <v>45975</v>
      </c>
      <c r="I327" s="155">
        <f t="shared" si="23"/>
        <v>7</v>
      </c>
      <c r="J327" s="158">
        <v>105000</v>
      </c>
      <c r="K327" s="156" t="s">
        <v>1386</v>
      </c>
      <c r="L327" s="155" t="s">
        <v>204</v>
      </c>
    </row>
    <row r="328" spans="2:12">
      <c r="B328" s="155" t="s">
        <v>1226</v>
      </c>
      <c r="C328" s="155" t="s">
        <v>31</v>
      </c>
      <c r="D328" s="156"/>
      <c r="E328" s="155" t="s">
        <v>128</v>
      </c>
      <c r="F328" s="155" t="s">
        <v>1227</v>
      </c>
      <c r="G328" s="157">
        <v>45968</v>
      </c>
      <c r="H328" s="157">
        <v>45976</v>
      </c>
      <c r="I328" s="155">
        <f t="shared" si="23"/>
        <v>8</v>
      </c>
      <c r="J328" s="158">
        <v>15000</v>
      </c>
      <c r="K328" s="156" t="s">
        <v>1402</v>
      </c>
      <c r="L328" s="155" t="s">
        <v>204</v>
      </c>
    </row>
    <row r="329" spans="2:12">
      <c r="B329" s="155" t="s">
        <v>485</v>
      </c>
      <c r="C329" s="155" t="s">
        <v>63</v>
      </c>
      <c r="D329" s="156"/>
      <c r="E329" s="155" t="s">
        <v>64</v>
      </c>
      <c r="F329" s="163" t="s">
        <v>1228</v>
      </c>
      <c r="G329" s="157">
        <v>45968</v>
      </c>
      <c r="H329" s="157">
        <v>45976</v>
      </c>
      <c r="I329" s="155">
        <f>H329-G329</f>
        <v>8</v>
      </c>
      <c r="J329" s="158">
        <v>5103</v>
      </c>
      <c r="K329" s="156" t="s">
        <v>1402</v>
      </c>
      <c r="L329" s="155" t="s">
        <v>204</v>
      </c>
    </row>
    <row r="330" spans="2:12">
      <c r="B330" s="155" t="s">
        <v>485</v>
      </c>
      <c r="C330" s="155" t="s">
        <v>63</v>
      </c>
      <c r="D330" s="156"/>
      <c r="E330" s="155" t="s">
        <v>64</v>
      </c>
      <c r="F330" s="163" t="s">
        <v>1229</v>
      </c>
      <c r="G330" s="157">
        <v>45968</v>
      </c>
      <c r="H330" s="157">
        <v>45975</v>
      </c>
      <c r="I330" s="155">
        <f>H330-G330</f>
        <v>7</v>
      </c>
      <c r="J330" s="158">
        <v>10590</v>
      </c>
      <c r="K330" s="156" t="s">
        <v>1386</v>
      </c>
      <c r="L330" s="155" t="s">
        <v>204</v>
      </c>
    </row>
    <row r="331" spans="2:12">
      <c r="B331" s="155" t="s">
        <v>1230</v>
      </c>
      <c r="C331" s="155" t="s">
        <v>31</v>
      </c>
      <c r="D331" s="156"/>
      <c r="E331" s="155" t="s">
        <v>128</v>
      </c>
      <c r="F331" s="155" t="s">
        <v>1231</v>
      </c>
      <c r="G331" s="157">
        <v>45969</v>
      </c>
      <c r="H331" s="157">
        <v>45977</v>
      </c>
      <c r="I331" s="155">
        <f t="shared" si="23"/>
        <v>8</v>
      </c>
      <c r="J331" s="158">
        <v>35629</v>
      </c>
      <c r="K331" s="156" t="s">
        <v>1402</v>
      </c>
      <c r="L331" s="155" t="s">
        <v>204</v>
      </c>
    </row>
    <row r="332" spans="2:12">
      <c r="B332" s="155" t="s">
        <v>553</v>
      </c>
      <c r="C332" s="155" t="s">
        <v>63</v>
      </c>
      <c r="D332" s="156"/>
      <c r="E332" s="155" t="s">
        <v>64</v>
      </c>
      <c r="F332" s="155" t="s">
        <v>1232</v>
      </c>
      <c r="G332" s="157">
        <v>45969</v>
      </c>
      <c r="H332" s="157">
        <v>45976</v>
      </c>
      <c r="I332" s="155">
        <f t="shared" si="23"/>
        <v>7</v>
      </c>
      <c r="J332" s="158">
        <v>5200</v>
      </c>
      <c r="K332" s="156" t="s">
        <v>1456</v>
      </c>
      <c r="L332" s="155" t="s">
        <v>204</v>
      </c>
    </row>
    <row r="333" spans="2:12">
      <c r="B333" s="155" t="s">
        <v>672</v>
      </c>
      <c r="C333" s="155" t="s">
        <v>63</v>
      </c>
      <c r="D333" s="156"/>
      <c r="E333" s="155" t="s">
        <v>64</v>
      </c>
      <c r="F333" s="155" t="s">
        <v>1233</v>
      </c>
      <c r="G333" s="157">
        <v>45969</v>
      </c>
      <c r="H333" s="157">
        <v>45978</v>
      </c>
      <c r="I333" s="155">
        <f t="shared" si="23"/>
        <v>9</v>
      </c>
      <c r="J333" s="158">
        <v>10577</v>
      </c>
      <c r="K333" s="156" t="s">
        <v>1417</v>
      </c>
      <c r="L333" s="155" t="s">
        <v>204</v>
      </c>
    </row>
    <row r="334" spans="2:12">
      <c r="B334" s="155" t="s">
        <v>850</v>
      </c>
      <c r="C334" s="155" t="s">
        <v>48</v>
      </c>
      <c r="D334" s="156"/>
      <c r="E334" s="155" t="s">
        <v>26</v>
      </c>
      <c r="F334" s="163" t="s">
        <v>1234</v>
      </c>
      <c r="G334" s="157">
        <v>45969</v>
      </c>
      <c r="H334" s="157">
        <v>45973</v>
      </c>
      <c r="I334" s="155">
        <f t="shared" si="23"/>
        <v>4</v>
      </c>
      <c r="J334" s="174">
        <v>6900</v>
      </c>
      <c r="K334" s="156" t="s">
        <v>1308</v>
      </c>
      <c r="L334" s="155" t="s">
        <v>204</v>
      </c>
    </row>
    <row r="335" spans="2:12">
      <c r="B335" s="155" t="s">
        <v>900</v>
      </c>
      <c r="C335" s="155" t="s">
        <v>48</v>
      </c>
      <c r="D335" s="156"/>
      <c r="E335" s="155" t="s">
        <v>26</v>
      </c>
      <c r="F335" s="163" t="s">
        <v>1235</v>
      </c>
      <c r="G335" s="157">
        <v>45969</v>
      </c>
      <c r="H335" s="157">
        <v>45976</v>
      </c>
      <c r="I335" s="155">
        <f t="shared" si="23"/>
        <v>7</v>
      </c>
      <c r="J335" s="174">
        <v>10150</v>
      </c>
      <c r="K335" s="156" t="s">
        <v>1402</v>
      </c>
      <c r="L335" s="155" t="s">
        <v>204</v>
      </c>
    </row>
    <row r="336" spans="2:12">
      <c r="B336" s="155" t="s">
        <v>39</v>
      </c>
      <c r="C336" s="155" t="s">
        <v>432</v>
      </c>
      <c r="D336" s="156"/>
      <c r="E336" s="155" t="s">
        <v>390</v>
      </c>
      <c r="F336" s="155" t="s">
        <v>1236</v>
      </c>
      <c r="G336" s="157">
        <v>45969</v>
      </c>
      <c r="H336" s="157">
        <v>45976</v>
      </c>
      <c r="I336" s="155">
        <f t="shared" ref="I336:I349" si="24">H336-G336</f>
        <v>7</v>
      </c>
      <c r="J336" s="158">
        <v>10180</v>
      </c>
      <c r="K336" s="156" t="s">
        <v>1402</v>
      </c>
      <c r="L336" s="155" t="s">
        <v>204</v>
      </c>
    </row>
    <row r="337" spans="2:13">
      <c r="B337" s="155" t="s">
        <v>1242</v>
      </c>
      <c r="C337" s="155" t="s">
        <v>56</v>
      </c>
      <c r="D337" s="156"/>
      <c r="E337" s="155" t="s">
        <v>31</v>
      </c>
      <c r="F337" s="155" t="s">
        <v>1243</v>
      </c>
      <c r="G337" s="157">
        <v>45969</v>
      </c>
      <c r="H337" s="157">
        <v>45979</v>
      </c>
      <c r="I337" s="155">
        <f t="shared" si="24"/>
        <v>10</v>
      </c>
      <c r="J337" s="158">
        <v>9200</v>
      </c>
      <c r="K337" s="156" t="s">
        <v>1408</v>
      </c>
      <c r="L337" s="155" t="s">
        <v>204</v>
      </c>
    </row>
    <row r="338" spans="2:13">
      <c r="B338" s="155" t="s">
        <v>178</v>
      </c>
      <c r="C338" s="155" t="s">
        <v>63</v>
      </c>
      <c r="D338" s="156"/>
      <c r="E338" s="155" t="s">
        <v>64</v>
      </c>
      <c r="F338" s="155" t="s">
        <v>1268</v>
      </c>
      <c r="G338" s="157">
        <v>45971</v>
      </c>
      <c r="H338" s="157">
        <v>45978</v>
      </c>
      <c r="I338" s="155">
        <f t="shared" si="24"/>
        <v>7</v>
      </c>
      <c r="J338" s="161">
        <v>12101</v>
      </c>
      <c r="K338" s="156" t="s">
        <v>1402</v>
      </c>
      <c r="L338" s="155" t="s">
        <v>204</v>
      </c>
    </row>
    <row r="339" spans="2:13">
      <c r="B339" s="155" t="s">
        <v>346</v>
      </c>
      <c r="C339" s="155" t="s">
        <v>63</v>
      </c>
      <c r="D339" s="156"/>
      <c r="E339" s="155" t="s">
        <v>64</v>
      </c>
      <c r="F339" s="155" t="s">
        <v>1269</v>
      </c>
      <c r="G339" s="157">
        <v>45971</v>
      </c>
      <c r="H339" s="157">
        <v>45978</v>
      </c>
      <c r="I339" s="155">
        <f t="shared" si="24"/>
        <v>7</v>
      </c>
      <c r="J339" s="161">
        <v>11310</v>
      </c>
      <c r="K339" s="156" t="s">
        <v>1402</v>
      </c>
      <c r="L339" s="155" t="s">
        <v>204</v>
      </c>
    </row>
    <row r="340" spans="2:13">
      <c r="B340" s="155" t="s">
        <v>1271</v>
      </c>
      <c r="C340" s="155" t="s">
        <v>63</v>
      </c>
      <c r="D340" s="156"/>
      <c r="E340" s="155" t="s">
        <v>64</v>
      </c>
      <c r="F340" s="155" t="s">
        <v>1270</v>
      </c>
      <c r="G340" s="157">
        <v>45971</v>
      </c>
      <c r="H340" s="157">
        <v>45979</v>
      </c>
      <c r="I340" s="155">
        <f t="shared" si="24"/>
        <v>8</v>
      </c>
      <c r="J340" s="161">
        <v>4700</v>
      </c>
      <c r="K340" s="156" t="s">
        <v>1408</v>
      </c>
      <c r="L340" s="155" t="s">
        <v>204</v>
      </c>
    </row>
    <row r="341" spans="2:13">
      <c r="B341" s="155" t="s">
        <v>238</v>
      </c>
      <c r="C341" s="155" t="s">
        <v>56</v>
      </c>
      <c r="D341" s="156"/>
      <c r="E341" s="155" t="s">
        <v>31</v>
      </c>
      <c r="F341" s="155" t="s">
        <v>1272</v>
      </c>
      <c r="G341" s="157">
        <v>45971</v>
      </c>
      <c r="H341" s="157">
        <v>45979</v>
      </c>
      <c r="I341" s="155">
        <f t="shared" si="24"/>
        <v>8</v>
      </c>
      <c r="J341" s="161">
        <v>7648</v>
      </c>
      <c r="K341" s="156" t="s">
        <v>1408</v>
      </c>
      <c r="L341" s="155" t="s">
        <v>204</v>
      </c>
    </row>
    <row r="342" spans="2:13">
      <c r="B342" s="155" t="s">
        <v>167</v>
      </c>
      <c r="C342" s="155" t="s">
        <v>56</v>
      </c>
      <c r="D342" s="156"/>
      <c r="E342" s="155" t="s">
        <v>31</v>
      </c>
      <c r="F342" s="155" t="s">
        <v>1273</v>
      </c>
      <c r="G342" s="157">
        <v>45971</v>
      </c>
      <c r="H342" s="157">
        <v>45980</v>
      </c>
      <c r="I342" s="155">
        <f t="shared" si="24"/>
        <v>9</v>
      </c>
      <c r="J342" s="161">
        <v>29000</v>
      </c>
      <c r="K342" s="156" t="s">
        <v>1417</v>
      </c>
      <c r="L342" s="155" t="s">
        <v>204</v>
      </c>
    </row>
    <row r="343" spans="2:13">
      <c r="B343" s="155" t="s">
        <v>926</v>
      </c>
      <c r="C343" s="155" t="s">
        <v>48</v>
      </c>
      <c r="D343" s="156"/>
      <c r="E343" s="155" t="s">
        <v>26</v>
      </c>
      <c r="F343" s="155" t="s">
        <v>1274</v>
      </c>
      <c r="G343" s="157">
        <v>45971</v>
      </c>
      <c r="H343" s="157">
        <v>45979</v>
      </c>
      <c r="I343" s="155">
        <f t="shared" si="24"/>
        <v>8</v>
      </c>
      <c r="J343" s="161">
        <v>8620</v>
      </c>
      <c r="K343" s="156" t="s">
        <v>1408</v>
      </c>
      <c r="L343" s="155" t="s">
        <v>204</v>
      </c>
    </row>
    <row r="344" spans="2:13">
      <c r="B344" s="155" t="s">
        <v>870</v>
      </c>
      <c r="C344" s="155" t="s">
        <v>48</v>
      </c>
      <c r="D344" s="156"/>
      <c r="E344" s="155" t="s">
        <v>26</v>
      </c>
      <c r="F344" s="155" t="s">
        <v>1275</v>
      </c>
      <c r="G344" s="157">
        <v>45971</v>
      </c>
      <c r="H344" s="157">
        <v>45977</v>
      </c>
      <c r="I344" s="155">
        <f t="shared" si="24"/>
        <v>6</v>
      </c>
      <c r="J344" s="161">
        <v>14378</v>
      </c>
      <c r="K344" s="156" t="s">
        <v>1402</v>
      </c>
      <c r="L344" s="155" t="s">
        <v>204</v>
      </c>
    </row>
    <row r="345" spans="2:13">
      <c r="B345" s="155" t="s">
        <v>1287</v>
      </c>
      <c r="C345" s="155" t="s">
        <v>63</v>
      </c>
      <c r="D345" s="156"/>
      <c r="E345" s="155" t="s">
        <v>32</v>
      </c>
      <c r="F345" s="155" t="s">
        <v>1288</v>
      </c>
      <c r="G345" s="157">
        <v>45972</v>
      </c>
      <c r="H345" s="157">
        <v>45983</v>
      </c>
      <c r="I345" s="155">
        <f t="shared" si="24"/>
        <v>11</v>
      </c>
      <c r="J345" s="158">
        <v>13312</v>
      </c>
      <c r="K345" s="156" t="s">
        <v>1475</v>
      </c>
      <c r="L345" s="155" t="s">
        <v>204</v>
      </c>
    </row>
    <row r="346" spans="2:13">
      <c r="B346" s="155" t="s">
        <v>426</v>
      </c>
      <c r="C346" s="155" t="s">
        <v>63</v>
      </c>
      <c r="D346" s="156"/>
      <c r="E346" s="155" t="s">
        <v>32</v>
      </c>
      <c r="F346" s="155" t="s">
        <v>1289</v>
      </c>
      <c r="G346" s="157">
        <v>45972</v>
      </c>
      <c r="H346" s="157">
        <v>45984</v>
      </c>
      <c r="I346" s="155">
        <f t="shared" si="24"/>
        <v>12</v>
      </c>
      <c r="J346" s="158">
        <v>10980</v>
      </c>
      <c r="K346" s="156" t="s">
        <v>1502</v>
      </c>
      <c r="L346" s="155" t="s">
        <v>204</v>
      </c>
    </row>
    <row r="347" spans="2:13">
      <c r="B347" s="155" t="s">
        <v>425</v>
      </c>
      <c r="C347" s="155" t="s">
        <v>48</v>
      </c>
      <c r="D347" s="156"/>
      <c r="E347" s="155" t="s">
        <v>26</v>
      </c>
      <c r="F347" s="163" t="s">
        <v>1404</v>
      </c>
      <c r="G347" s="157">
        <v>45972</v>
      </c>
      <c r="H347" s="157">
        <v>45978</v>
      </c>
      <c r="I347" s="155">
        <f t="shared" si="24"/>
        <v>6</v>
      </c>
      <c r="J347" s="158">
        <v>3610</v>
      </c>
      <c r="K347" s="156" t="s">
        <v>1402</v>
      </c>
      <c r="L347" s="155" t="s">
        <v>204</v>
      </c>
      <c r="M347" t="s">
        <v>1291</v>
      </c>
    </row>
    <row r="348" spans="2:13">
      <c r="B348" s="155" t="s">
        <v>1293</v>
      </c>
      <c r="C348" s="155" t="s">
        <v>432</v>
      </c>
      <c r="D348" s="156"/>
      <c r="E348" s="155" t="s">
        <v>390</v>
      </c>
      <c r="F348" s="155" t="s">
        <v>1292</v>
      </c>
      <c r="G348" s="157">
        <v>45972</v>
      </c>
      <c r="H348" s="157">
        <v>45979</v>
      </c>
      <c r="I348" s="155">
        <f t="shared" si="24"/>
        <v>7</v>
      </c>
      <c r="J348" s="158">
        <v>4397</v>
      </c>
      <c r="K348" s="156" t="s">
        <v>1408</v>
      </c>
      <c r="L348" s="155" t="s">
        <v>204</v>
      </c>
    </row>
    <row r="349" spans="2:13">
      <c r="B349" s="155" t="s">
        <v>241</v>
      </c>
      <c r="C349" s="155" t="s">
        <v>56</v>
      </c>
      <c r="D349" s="156"/>
      <c r="E349" s="155" t="s">
        <v>31</v>
      </c>
      <c r="F349" s="163" t="s">
        <v>1294</v>
      </c>
      <c r="G349" s="157">
        <v>45972</v>
      </c>
      <c r="H349" s="157">
        <v>45980</v>
      </c>
      <c r="I349" s="155">
        <f t="shared" si="24"/>
        <v>8</v>
      </c>
      <c r="J349" s="158">
        <v>3000</v>
      </c>
      <c r="K349" s="156" t="s">
        <v>1417</v>
      </c>
      <c r="L349" s="155" t="s">
        <v>204</v>
      </c>
    </row>
    <row r="350" spans="2:13">
      <c r="B350" s="155" t="s">
        <v>149</v>
      </c>
      <c r="C350" s="155" t="s">
        <v>31</v>
      </c>
      <c r="D350" s="156"/>
      <c r="E350" s="155" t="s">
        <v>128</v>
      </c>
      <c r="F350" s="155" t="s">
        <v>1296</v>
      </c>
      <c r="G350" s="157">
        <v>45970</v>
      </c>
      <c r="H350" s="157">
        <v>45971</v>
      </c>
      <c r="I350" s="155">
        <f t="shared" ref="I350:I361" si="25">H350-G350</f>
        <v>1</v>
      </c>
      <c r="J350" s="158">
        <v>43602</v>
      </c>
      <c r="K350" s="392">
        <v>45971</v>
      </c>
      <c r="L350" s="155" t="s">
        <v>204</v>
      </c>
    </row>
    <row r="351" spans="2:13">
      <c r="B351" s="155" t="s">
        <v>1300</v>
      </c>
      <c r="C351" s="155" t="s">
        <v>31</v>
      </c>
      <c r="D351" s="156"/>
      <c r="E351" s="155" t="s">
        <v>128</v>
      </c>
      <c r="F351" s="155" t="s">
        <v>1299</v>
      </c>
      <c r="G351" s="157">
        <v>45973</v>
      </c>
      <c r="H351" s="157">
        <v>45979</v>
      </c>
      <c r="I351" s="155">
        <f t="shared" si="25"/>
        <v>6</v>
      </c>
      <c r="J351" s="158">
        <v>24930</v>
      </c>
      <c r="K351" s="156" t="s">
        <v>1417</v>
      </c>
      <c r="L351" s="155" t="s">
        <v>204</v>
      </c>
    </row>
    <row r="352" spans="2:13">
      <c r="B352" s="155" t="s">
        <v>485</v>
      </c>
      <c r="C352" s="155" t="s">
        <v>63</v>
      </c>
      <c r="D352" s="156"/>
      <c r="E352" s="155" t="s">
        <v>64</v>
      </c>
      <c r="F352" s="155" t="s">
        <v>1301</v>
      </c>
      <c r="G352" s="157">
        <v>45973</v>
      </c>
      <c r="H352" s="157">
        <v>45982</v>
      </c>
      <c r="I352" s="155">
        <f t="shared" si="25"/>
        <v>9</v>
      </c>
      <c r="J352" s="158">
        <v>11836</v>
      </c>
      <c r="K352" s="156" t="s">
        <v>1516</v>
      </c>
      <c r="L352" s="155" t="s">
        <v>204</v>
      </c>
    </row>
    <row r="353" spans="2:13">
      <c r="B353" s="155" t="s">
        <v>177</v>
      </c>
      <c r="C353" s="155" t="s">
        <v>63</v>
      </c>
      <c r="D353" s="156"/>
      <c r="E353" s="155" t="s">
        <v>64</v>
      </c>
      <c r="F353" s="155" t="s">
        <v>1302</v>
      </c>
      <c r="G353" s="157">
        <v>45973</v>
      </c>
      <c r="H353" s="157">
        <v>45983</v>
      </c>
      <c r="I353" s="155">
        <f t="shared" si="25"/>
        <v>10</v>
      </c>
      <c r="J353" s="158">
        <v>6811</v>
      </c>
      <c r="K353" s="156" t="s">
        <v>1502</v>
      </c>
      <c r="L353" s="155" t="s">
        <v>204</v>
      </c>
    </row>
    <row r="354" spans="2:13">
      <c r="B354" s="155" t="s">
        <v>1304</v>
      </c>
      <c r="C354" s="155" t="s">
        <v>63</v>
      </c>
      <c r="D354" s="156"/>
      <c r="E354" s="155" t="s">
        <v>64</v>
      </c>
      <c r="F354" s="155" t="s">
        <v>1303</v>
      </c>
      <c r="G354" s="157">
        <v>45973</v>
      </c>
      <c r="H354" s="157">
        <v>45979</v>
      </c>
      <c r="I354" s="155">
        <f t="shared" si="25"/>
        <v>6</v>
      </c>
      <c r="J354" s="158">
        <v>3912</v>
      </c>
      <c r="K354" s="156" t="s">
        <v>1475</v>
      </c>
      <c r="L354" s="155" t="s">
        <v>204</v>
      </c>
    </row>
    <row r="355" spans="2:13">
      <c r="B355" s="155" t="s">
        <v>900</v>
      </c>
      <c r="C355" s="155" t="s">
        <v>56</v>
      </c>
      <c r="D355" s="156"/>
      <c r="E355" s="155" t="s">
        <v>31</v>
      </c>
      <c r="F355" s="155" t="s">
        <v>1305</v>
      </c>
      <c r="G355" s="157">
        <v>45973</v>
      </c>
      <c r="H355" s="157">
        <v>45981</v>
      </c>
      <c r="I355" s="155">
        <f t="shared" si="25"/>
        <v>8</v>
      </c>
      <c r="J355" s="161">
        <v>8615</v>
      </c>
      <c r="K355" s="156" t="s">
        <v>1456</v>
      </c>
      <c r="L355" s="155" t="s">
        <v>204</v>
      </c>
    </row>
    <row r="356" spans="2:13">
      <c r="B356" s="155" t="s">
        <v>850</v>
      </c>
      <c r="C356" s="155" t="s">
        <v>56</v>
      </c>
      <c r="D356" s="156"/>
      <c r="E356" s="155" t="s">
        <v>31</v>
      </c>
      <c r="F356" s="155" t="s">
        <v>1306</v>
      </c>
      <c r="G356" s="157">
        <v>45973</v>
      </c>
      <c r="H356" s="157">
        <v>45979</v>
      </c>
      <c r="I356" s="155">
        <f t="shared" si="25"/>
        <v>6</v>
      </c>
      <c r="J356" s="161">
        <v>4000</v>
      </c>
      <c r="K356" s="156" t="s">
        <v>1408</v>
      </c>
      <c r="L356" s="155" t="s">
        <v>204</v>
      </c>
    </row>
    <row r="357" spans="2:13">
      <c r="B357" s="155" t="s">
        <v>1312</v>
      </c>
      <c r="C357" s="155" t="s">
        <v>31</v>
      </c>
      <c r="D357" s="156"/>
      <c r="E357" s="155" t="s">
        <v>64</v>
      </c>
      <c r="F357" s="155" t="s">
        <v>1315</v>
      </c>
      <c r="G357" s="157">
        <v>45974</v>
      </c>
      <c r="H357" s="157">
        <v>45984</v>
      </c>
      <c r="I357" s="155">
        <f t="shared" si="25"/>
        <v>10</v>
      </c>
      <c r="J357" s="158">
        <v>100000</v>
      </c>
      <c r="K357" s="156" t="s">
        <v>1502</v>
      </c>
      <c r="L357" s="155" t="s">
        <v>204</v>
      </c>
      <c r="M357" t="s">
        <v>1313</v>
      </c>
    </row>
    <row r="358" spans="2:13">
      <c r="B358" s="11" t="s">
        <v>1312</v>
      </c>
      <c r="C358" s="11" t="s">
        <v>31</v>
      </c>
      <c r="D358" s="78"/>
      <c r="E358" s="11" t="s">
        <v>64</v>
      </c>
      <c r="F358" s="11" t="s">
        <v>1316</v>
      </c>
      <c r="G358" s="318">
        <v>45974</v>
      </c>
      <c r="H358" s="318">
        <v>45989</v>
      </c>
      <c r="I358" s="11">
        <f t="shared" si="25"/>
        <v>15</v>
      </c>
      <c r="J358" s="29">
        <v>73000</v>
      </c>
      <c r="K358" s="78"/>
      <c r="L358" s="11"/>
      <c r="M358" t="s">
        <v>1314</v>
      </c>
    </row>
    <row r="359" spans="2:13">
      <c r="B359" s="155" t="s">
        <v>557</v>
      </c>
      <c r="C359" s="155" t="s">
        <v>48</v>
      </c>
      <c r="D359" s="156"/>
      <c r="E359" s="155" t="s">
        <v>26</v>
      </c>
      <c r="F359" s="155" t="s">
        <v>1317</v>
      </c>
      <c r="G359" s="157">
        <v>45974</v>
      </c>
      <c r="H359" s="157">
        <v>45980</v>
      </c>
      <c r="I359" s="155">
        <f t="shared" si="25"/>
        <v>6</v>
      </c>
      <c r="J359" s="161">
        <v>7000</v>
      </c>
      <c r="K359" s="156" t="s">
        <v>1417</v>
      </c>
      <c r="L359" s="155" t="s">
        <v>204</v>
      </c>
    </row>
    <row r="360" spans="2:13">
      <c r="B360" s="155" t="s">
        <v>167</v>
      </c>
      <c r="C360" s="155" t="s">
        <v>48</v>
      </c>
      <c r="D360" s="156"/>
      <c r="E360" s="155" t="s">
        <v>26</v>
      </c>
      <c r="F360" s="155" t="s">
        <v>1480</v>
      </c>
      <c r="G360" s="157">
        <v>45974</v>
      </c>
      <c r="H360" s="157">
        <v>45981</v>
      </c>
      <c r="I360" s="155">
        <f t="shared" si="25"/>
        <v>7</v>
      </c>
      <c r="J360" s="161">
        <v>11952</v>
      </c>
      <c r="K360" s="156" t="s">
        <v>1538</v>
      </c>
      <c r="L360" s="155" t="s">
        <v>204</v>
      </c>
    </row>
    <row r="361" spans="2:13">
      <c r="B361" s="155" t="s">
        <v>1319</v>
      </c>
      <c r="C361" s="155" t="s">
        <v>432</v>
      </c>
      <c r="D361" s="156"/>
      <c r="E361" s="155" t="s">
        <v>390</v>
      </c>
      <c r="F361" s="155" t="s">
        <v>1318</v>
      </c>
      <c r="G361" s="157">
        <v>45974</v>
      </c>
      <c r="H361" s="157">
        <v>45983</v>
      </c>
      <c r="I361" s="155">
        <f t="shared" si="25"/>
        <v>9</v>
      </c>
      <c r="J361" s="161">
        <v>6487</v>
      </c>
      <c r="K361" s="156" t="s">
        <v>1502</v>
      </c>
      <c r="L361" s="155" t="s">
        <v>204</v>
      </c>
    </row>
    <row r="362" spans="2:13">
      <c r="B362" s="155" t="s">
        <v>485</v>
      </c>
      <c r="C362" s="155" t="s">
        <v>63</v>
      </c>
      <c r="D362" s="156"/>
      <c r="E362" s="155" t="s">
        <v>64</v>
      </c>
      <c r="F362" s="155" t="s">
        <v>1320</v>
      </c>
      <c r="G362" s="157">
        <v>45974</v>
      </c>
      <c r="H362" s="157">
        <v>45975</v>
      </c>
      <c r="I362" s="155">
        <f t="shared" ref="I362:I372" si="26">H362-G362</f>
        <v>1</v>
      </c>
      <c r="J362" s="158">
        <v>3451</v>
      </c>
      <c r="K362" s="156" t="s">
        <v>1475</v>
      </c>
      <c r="L362" s="155" t="s">
        <v>204</v>
      </c>
    </row>
    <row r="363" spans="2:13">
      <c r="B363" s="155" t="s">
        <v>1207</v>
      </c>
      <c r="C363" s="155" t="s">
        <v>31</v>
      </c>
      <c r="D363" s="156"/>
      <c r="E363" s="155" t="s">
        <v>128</v>
      </c>
      <c r="F363" s="155" t="s">
        <v>1431</v>
      </c>
      <c r="G363" s="157">
        <v>45974</v>
      </c>
      <c r="H363" s="157">
        <v>45981</v>
      </c>
      <c r="I363" s="155">
        <f t="shared" si="26"/>
        <v>7</v>
      </c>
      <c r="J363" s="158">
        <v>30000</v>
      </c>
      <c r="K363" s="156" t="s">
        <v>1475</v>
      </c>
      <c r="L363" s="155" t="s">
        <v>204</v>
      </c>
    </row>
    <row r="364" spans="2:13">
      <c r="B364" s="155" t="s">
        <v>1207</v>
      </c>
      <c r="C364" s="155" t="s">
        <v>31</v>
      </c>
      <c r="D364" s="156"/>
      <c r="E364" s="155" t="s">
        <v>128</v>
      </c>
      <c r="F364" s="155" t="s">
        <v>1321</v>
      </c>
      <c r="G364" s="157">
        <v>45974</v>
      </c>
      <c r="H364" s="157">
        <v>45982</v>
      </c>
      <c r="I364" s="155">
        <f t="shared" si="26"/>
        <v>8</v>
      </c>
      <c r="J364" s="158">
        <v>20000</v>
      </c>
      <c r="K364" s="156" t="s">
        <v>1475</v>
      </c>
      <c r="L364" s="155" t="s">
        <v>204</v>
      </c>
    </row>
    <row r="365" spans="2:13">
      <c r="B365" s="11" t="s">
        <v>1207</v>
      </c>
      <c r="C365" s="11" t="s">
        <v>31</v>
      </c>
      <c r="D365" s="78"/>
      <c r="E365" s="11" t="s">
        <v>128</v>
      </c>
      <c r="F365" s="11" t="s">
        <v>1322</v>
      </c>
      <c r="G365" s="318">
        <v>45974</v>
      </c>
      <c r="H365" s="318">
        <v>45989</v>
      </c>
      <c r="I365" s="11">
        <f t="shared" si="26"/>
        <v>15</v>
      </c>
      <c r="J365" s="29">
        <v>28000</v>
      </c>
      <c r="K365" s="78"/>
      <c r="L365" s="11"/>
    </row>
    <row r="366" spans="2:13">
      <c r="B366" s="11" t="s">
        <v>1207</v>
      </c>
      <c r="C366" s="11" t="s">
        <v>31</v>
      </c>
      <c r="D366" s="78"/>
      <c r="E366" s="11" t="s">
        <v>128</v>
      </c>
      <c r="F366" s="11" t="s">
        <v>1323</v>
      </c>
      <c r="G366" s="318">
        <v>45974</v>
      </c>
      <c r="H366" s="318">
        <v>45991</v>
      </c>
      <c r="I366" s="11">
        <f t="shared" si="26"/>
        <v>17</v>
      </c>
      <c r="J366" s="29">
        <v>26970</v>
      </c>
      <c r="K366" s="78"/>
      <c r="L366" s="11"/>
    </row>
    <row r="367" spans="2:13">
      <c r="B367" s="155" t="s">
        <v>870</v>
      </c>
      <c r="C367" s="155" t="s">
        <v>56</v>
      </c>
      <c r="D367" s="156"/>
      <c r="E367" s="155" t="s">
        <v>31</v>
      </c>
      <c r="F367" s="155" t="s">
        <v>1325</v>
      </c>
      <c r="G367" s="157">
        <v>45974</v>
      </c>
      <c r="H367" s="157">
        <v>45982</v>
      </c>
      <c r="I367" s="155">
        <f t="shared" si="26"/>
        <v>8</v>
      </c>
      <c r="J367" s="161">
        <v>10620</v>
      </c>
      <c r="K367" s="156" t="s">
        <v>1475</v>
      </c>
      <c r="L367" s="155" t="s">
        <v>204</v>
      </c>
    </row>
    <row r="368" spans="2:13">
      <c r="B368" s="155" t="s">
        <v>310</v>
      </c>
      <c r="C368" s="155" t="s">
        <v>56</v>
      </c>
      <c r="D368" s="156"/>
      <c r="E368" s="155" t="s">
        <v>31</v>
      </c>
      <c r="F368" s="155" t="s">
        <v>1326</v>
      </c>
      <c r="G368" s="157">
        <v>45974</v>
      </c>
      <c r="H368" s="157">
        <v>45979</v>
      </c>
      <c r="I368" s="155">
        <f t="shared" si="26"/>
        <v>5</v>
      </c>
      <c r="J368" s="161">
        <v>6000</v>
      </c>
      <c r="K368" s="156" t="s">
        <v>1408</v>
      </c>
      <c r="L368" s="155" t="s">
        <v>204</v>
      </c>
    </row>
    <row r="369" spans="2:13">
      <c r="B369" s="155" t="s">
        <v>553</v>
      </c>
      <c r="C369" s="155" t="s">
        <v>432</v>
      </c>
      <c r="D369" s="156"/>
      <c r="E369" s="155" t="s">
        <v>390</v>
      </c>
      <c r="F369" s="155" t="s">
        <v>1327</v>
      </c>
      <c r="G369" s="157">
        <v>45966</v>
      </c>
      <c r="H369" s="157">
        <v>45973</v>
      </c>
      <c r="I369" s="155">
        <f t="shared" si="26"/>
        <v>7</v>
      </c>
      <c r="J369" s="158">
        <v>3365</v>
      </c>
      <c r="K369" s="156" t="s">
        <v>1308</v>
      </c>
      <c r="L369" s="155" t="s">
        <v>204</v>
      </c>
    </row>
    <row r="370" spans="2:13">
      <c r="B370" s="11" t="s">
        <v>1328</v>
      </c>
      <c r="C370" s="11" t="s">
        <v>31</v>
      </c>
      <c r="D370" s="78"/>
      <c r="E370" s="11" t="s">
        <v>128</v>
      </c>
      <c r="F370" s="11" t="s">
        <v>1329</v>
      </c>
      <c r="G370" s="318">
        <v>45974</v>
      </c>
      <c r="H370" s="318">
        <v>45989</v>
      </c>
      <c r="I370" s="11">
        <f t="shared" si="26"/>
        <v>15</v>
      </c>
      <c r="J370" s="29">
        <v>37863</v>
      </c>
      <c r="K370" s="78"/>
      <c r="L370" s="11"/>
      <c r="M370" t="s">
        <v>1330</v>
      </c>
    </row>
    <row r="371" spans="2:13">
      <c r="B371" s="155" t="s">
        <v>1345</v>
      </c>
      <c r="C371" s="155" t="s">
        <v>432</v>
      </c>
      <c r="D371" s="156"/>
      <c r="E371" s="155" t="s">
        <v>390</v>
      </c>
      <c r="F371" s="155" t="s">
        <v>1343</v>
      </c>
      <c r="G371" s="157">
        <v>45975</v>
      </c>
      <c r="H371" s="157">
        <v>45983</v>
      </c>
      <c r="I371" s="155">
        <f t="shared" si="26"/>
        <v>8</v>
      </c>
      <c r="J371" s="161">
        <v>3291</v>
      </c>
      <c r="K371" s="156" t="s">
        <v>1502</v>
      </c>
      <c r="L371" s="155" t="s">
        <v>204</v>
      </c>
    </row>
    <row r="372" spans="2:13">
      <c r="B372" s="11" t="s">
        <v>1137</v>
      </c>
      <c r="C372" s="11" t="s">
        <v>432</v>
      </c>
      <c r="D372" s="78"/>
      <c r="E372" s="11" t="s">
        <v>390</v>
      </c>
      <c r="F372" s="11" t="s">
        <v>1344</v>
      </c>
      <c r="G372" s="318">
        <v>45975</v>
      </c>
      <c r="H372" s="318">
        <v>45985</v>
      </c>
      <c r="I372" s="11">
        <f t="shared" si="26"/>
        <v>10</v>
      </c>
      <c r="J372" s="99">
        <v>4965</v>
      </c>
      <c r="K372" s="78"/>
      <c r="L372" s="11"/>
    </row>
    <row r="373" spans="2:13">
      <c r="B373" s="155" t="s">
        <v>485</v>
      </c>
      <c r="C373" s="155" t="s">
        <v>63</v>
      </c>
      <c r="D373" s="156"/>
      <c r="E373" s="155" t="s">
        <v>64</v>
      </c>
      <c r="F373" s="155" t="s">
        <v>1346</v>
      </c>
      <c r="G373" s="157">
        <v>45975</v>
      </c>
      <c r="H373" s="157">
        <v>45983</v>
      </c>
      <c r="I373" s="155">
        <f t="shared" ref="I373:I394" si="27">H373-G373</f>
        <v>8</v>
      </c>
      <c r="J373" s="158">
        <v>10732</v>
      </c>
      <c r="K373" s="156" t="s">
        <v>1502</v>
      </c>
      <c r="L373" s="155" t="s">
        <v>204</v>
      </c>
    </row>
    <row r="374" spans="2:13">
      <c r="B374" s="155" t="s">
        <v>1160</v>
      </c>
      <c r="C374" s="155" t="s">
        <v>48</v>
      </c>
      <c r="D374" s="156"/>
      <c r="E374" s="155" t="s">
        <v>26</v>
      </c>
      <c r="F374" s="155" t="s">
        <v>1348</v>
      </c>
      <c r="G374" s="157">
        <v>45975</v>
      </c>
      <c r="H374" s="157">
        <v>45980</v>
      </c>
      <c r="I374" s="155">
        <f t="shared" si="27"/>
        <v>5</v>
      </c>
      <c r="J374" s="161">
        <v>5000</v>
      </c>
      <c r="K374" s="156" t="s">
        <v>1417</v>
      </c>
      <c r="L374" s="155" t="s">
        <v>204</v>
      </c>
    </row>
    <row r="375" spans="2:13">
      <c r="B375" s="155" t="s">
        <v>480</v>
      </c>
      <c r="C375" s="155" t="s">
        <v>48</v>
      </c>
      <c r="D375" s="156"/>
      <c r="E375" s="155" t="s">
        <v>26</v>
      </c>
      <c r="F375" s="155" t="s">
        <v>1349</v>
      </c>
      <c r="G375" s="157">
        <v>45975</v>
      </c>
      <c r="H375" s="157">
        <v>45981</v>
      </c>
      <c r="I375" s="155">
        <f t="shared" si="27"/>
        <v>6</v>
      </c>
      <c r="J375" s="161">
        <v>4651</v>
      </c>
      <c r="K375" s="156" t="s">
        <v>1456</v>
      </c>
      <c r="L375" s="155" t="s">
        <v>204</v>
      </c>
    </row>
    <row r="376" spans="2:13">
      <c r="B376" s="155" t="s">
        <v>1351</v>
      </c>
      <c r="C376" s="155" t="s">
        <v>48</v>
      </c>
      <c r="D376" s="156"/>
      <c r="E376" s="155" t="s">
        <v>26</v>
      </c>
      <c r="F376" s="155" t="s">
        <v>1350</v>
      </c>
      <c r="G376" s="157">
        <v>45975</v>
      </c>
      <c r="H376" s="157">
        <v>45987</v>
      </c>
      <c r="I376" s="155">
        <f t="shared" si="27"/>
        <v>12</v>
      </c>
      <c r="J376" s="161">
        <v>8900</v>
      </c>
      <c r="K376" s="156" t="s">
        <v>1538</v>
      </c>
      <c r="L376" s="155" t="s">
        <v>204</v>
      </c>
    </row>
    <row r="377" spans="2:13">
      <c r="B377" s="155" t="s">
        <v>553</v>
      </c>
      <c r="C377" s="155" t="s">
        <v>432</v>
      </c>
      <c r="D377" s="156"/>
      <c r="E377" s="155" t="s">
        <v>390</v>
      </c>
      <c r="F377" s="155" t="s">
        <v>1354</v>
      </c>
      <c r="G377" s="157">
        <v>45976</v>
      </c>
      <c r="H377" s="157">
        <v>45979</v>
      </c>
      <c r="I377" s="155">
        <f t="shared" si="27"/>
        <v>3</v>
      </c>
      <c r="J377" s="158">
        <v>3394</v>
      </c>
      <c r="K377" s="156" t="s">
        <v>1408</v>
      </c>
      <c r="L377" s="155" t="s">
        <v>204</v>
      </c>
    </row>
    <row r="378" spans="2:13">
      <c r="B378" s="155" t="s">
        <v>553</v>
      </c>
      <c r="C378" s="155" t="s">
        <v>63</v>
      </c>
      <c r="D378" s="156"/>
      <c r="E378" s="155" t="s">
        <v>64</v>
      </c>
      <c r="F378" s="155" t="s">
        <v>1356</v>
      </c>
      <c r="G378" s="157">
        <v>45976</v>
      </c>
      <c r="H378" s="157">
        <v>45985</v>
      </c>
      <c r="I378" s="155">
        <f t="shared" si="27"/>
        <v>9</v>
      </c>
      <c r="J378" s="158">
        <v>5026</v>
      </c>
      <c r="K378" s="156" t="s">
        <v>1502</v>
      </c>
      <c r="L378" s="155" t="s">
        <v>204</v>
      </c>
    </row>
    <row r="379" spans="2:13">
      <c r="B379" s="155" t="s">
        <v>900</v>
      </c>
      <c r="C379" s="155" t="s">
        <v>48</v>
      </c>
      <c r="D379" s="156"/>
      <c r="E379" s="155" t="s">
        <v>26</v>
      </c>
      <c r="F379" s="155" t="s">
        <v>1357</v>
      </c>
      <c r="G379" s="157">
        <v>45976</v>
      </c>
      <c r="H379" s="157">
        <v>45984</v>
      </c>
      <c r="I379" s="155">
        <f t="shared" si="27"/>
        <v>8</v>
      </c>
      <c r="J379" s="161">
        <v>11270</v>
      </c>
      <c r="K379" s="156" t="s">
        <v>1502</v>
      </c>
      <c r="L379" s="155" t="s">
        <v>204</v>
      </c>
    </row>
    <row r="380" spans="2:13">
      <c r="B380" s="155" t="s">
        <v>850</v>
      </c>
      <c r="C380" s="155" t="s">
        <v>48</v>
      </c>
      <c r="D380" s="156"/>
      <c r="E380" s="155" t="s">
        <v>26</v>
      </c>
      <c r="F380" s="155" t="s">
        <v>1358</v>
      </c>
      <c r="G380" s="157">
        <v>45976</v>
      </c>
      <c r="H380" s="157">
        <v>45980</v>
      </c>
      <c r="I380" s="155">
        <f t="shared" si="27"/>
        <v>4</v>
      </c>
      <c r="J380" s="161">
        <v>4800</v>
      </c>
      <c r="K380" s="156" t="s">
        <v>1417</v>
      </c>
      <c r="L380" s="155" t="s">
        <v>204</v>
      </c>
    </row>
    <row r="381" spans="2:13">
      <c r="B381" s="155" t="s">
        <v>179</v>
      </c>
      <c r="C381" s="155" t="s">
        <v>48</v>
      </c>
      <c r="D381" s="156"/>
      <c r="E381" s="155" t="s">
        <v>26</v>
      </c>
      <c r="F381" s="155" t="s">
        <v>1359</v>
      </c>
      <c r="G381" s="157">
        <v>45976</v>
      </c>
      <c r="H381" s="157">
        <v>45983</v>
      </c>
      <c r="I381" s="155">
        <f t="shared" si="27"/>
        <v>7</v>
      </c>
      <c r="J381" s="161">
        <v>9252</v>
      </c>
      <c r="K381" s="156" t="s">
        <v>1502</v>
      </c>
      <c r="L381" s="155" t="s">
        <v>204</v>
      </c>
    </row>
    <row r="382" spans="2:13">
      <c r="B382" s="11" t="s">
        <v>1212</v>
      </c>
      <c r="C382" s="11" t="s">
        <v>56</v>
      </c>
      <c r="D382" s="78"/>
      <c r="E382" s="11" t="s">
        <v>31</v>
      </c>
      <c r="F382" s="11" t="s">
        <v>1360</v>
      </c>
      <c r="G382" s="318">
        <v>45976</v>
      </c>
      <c r="H382" s="318">
        <v>45991</v>
      </c>
      <c r="I382" s="11">
        <f t="shared" si="27"/>
        <v>15</v>
      </c>
      <c r="J382" s="99">
        <v>17000</v>
      </c>
      <c r="K382" s="78"/>
      <c r="L382" s="11"/>
    </row>
    <row r="383" spans="2:13">
      <c r="B383" s="11" t="s">
        <v>1212</v>
      </c>
      <c r="C383" s="11" t="s">
        <v>56</v>
      </c>
      <c r="D383" s="78"/>
      <c r="E383" s="11" t="s">
        <v>31</v>
      </c>
      <c r="F383" s="11" t="s">
        <v>1361</v>
      </c>
      <c r="G383" s="318">
        <v>45976</v>
      </c>
      <c r="H383" s="318">
        <v>45989</v>
      </c>
      <c r="I383" s="11">
        <f t="shared" si="27"/>
        <v>13</v>
      </c>
      <c r="J383" s="99">
        <v>18000</v>
      </c>
      <c r="K383" s="78"/>
      <c r="L383" s="11"/>
    </row>
    <row r="384" spans="2:13">
      <c r="B384" s="155" t="s">
        <v>485</v>
      </c>
      <c r="C384" s="155" t="s">
        <v>432</v>
      </c>
      <c r="D384" s="156"/>
      <c r="E384" s="155" t="s">
        <v>390</v>
      </c>
      <c r="F384" s="155" t="s">
        <v>1365</v>
      </c>
      <c r="G384" s="157">
        <v>45976</v>
      </c>
      <c r="H384" s="157">
        <v>45983</v>
      </c>
      <c r="I384" s="155">
        <f t="shared" si="27"/>
        <v>7</v>
      </c>
      <c r="J384" s="158">
        <v>7620</v>
      </c>
      <c r="K384" s="156" t="s">
        <v>1502</v>
      </c>
      <c r="L384" s="155" t="s">
        <v>204</v>
      </c>
    </row>
    <row r="385" spans="2:12">
      <c r="B385" s="155" t="s">
        <v>1367</v>
      </c>
      <c r="C385" s="155" t="s">
        <v>31</v>
      </c>
      <c r="D385" s="156"/>
      <c r="E385" s="155" t="s">
        <v>128</v>
      </c>
      <c r="F385" s="155" t="s">
        <v>1368</v>
      </c>
      <c r="G385" s="157">
        <v>45976</v>
      </c>
      <c r="H385" s="157">
        <v>45977</v>
      </c>
      <c r="I385" s="155">
        <f t="shared" si="27"/>
        <v>1</v>
      </c>
      <c r="J385" s="158">
        <v>177600</v>
      </c>
      <c r="K385" s="156" t="s">
        <v>1402</v>
      </c>
      <c r="L385" s="155" t="s">
        <v>204</v>
      </c>
    </row>
    <row r="386" spans="2:12">
      <c r="B386" s="155" t="s">
        <v>1367</v>
      </c>
      <c r="C386" s="155" t="s">
        <v>31</v>
      </c>
      <c r="D386" s="156"/>
      <c r="E386" s="155" t="s">
        <v>128</v>
      </c>
      <c r="F386" s="155" t="s">
        <v>1369</v>
      </c>
      <c r="G386" s="157">
        <v>45976</v>
      </c>
      <c r="H386" s="157">
        <v>45986</v>
      </c>
      <c r="I386" s="155">
        <f t="shared" si="27"/>
        <v>10</v>
      </c>
      <c r="J386" s="158">
        <v>185640</v>
      </c>
      <c r="K386" s="156" t="s">
        <v>1516</v>
      </c>
      <c r="L386" s="155" t="s">
        <v>204</v>
      </c>
    </row>
    <row r="387" spans="2:12">
      <c r="B387" s="155" t="s">
        <v>1367</v>
      </c>
      <c r="C387" s="155" t="s">
        <v>31</v>
      </c>
      <c r="D387" s="156"/>
      <c r="E387" s="155" t="s">
        <v>128</v>
      </c>
      <c r="F387" s="155" t="s">
        <v>1370</v>
      </c>
      <c r="G387" s="157">
        <v>45976</v>
      </c>
      <c r="H387" s="157">
        <v>45981</v>
      </c>
      <c r="I387" s="155">
        <f t="shared" si="27"/>
        <v>5</v>
      </c>
      <c r="J387" s="158">
        <v>176700</v>
      </c>
      <c r="K387" s="156" t="s">
        <v>1475</v>
      </c>
      <c r="L387" s="155" t="s">
        <v>204</v>
      </c>
    </row>
    <row r="388" spans="2:12">
      <c r="B388" s="155" t="s">
        <v>1367</v>
      </c>
      <c r="C388" s="155" t="s">
        <v>31</v>
      </c>
      <c r="D388" s="156"/>
      <c r="E388" s="155" t="s">
        <v>128</v>
      </c>
      <c r="F388" s="155" t="s">
        <v>1371</v>
      </c>
      <c r="G388" s="157">
        <v>45976</v>
      </c>
      <c r="H388" s="157">
        <v>45981</v>
      </c>
      <c r="I388" s="155">
        <f t="shared" si="27"/>
        <v>5</v>
      </c>
      <c r="J388" s="158">
        <v>40000</v>
      </c>
      <c r="K388" s="156" t="s">
        <v>1456</v>
      </c>
      <c r="L388" s="155" t="s">
        <v>204</v>
      </c>
    </row>
    <row r="389" spans="2:12">
      <c r="B389" s="155" t="s">
        <v>1367</v>
      </c>
      <c r="C389" s="155" t="s">
        <v>31</v>
      </c>
      <c r="D389" s="156"/>
      <c r="E389" s="155" t="s">
        <v>128</v>
      </c>
      <c r="F389" s="155" t="s">
        <v>1372</v>
      </c>
      <c r="G389" s="157">
        <v>45976</v>
      </c>
      <c r="H389" s="157">
        <v>45979</v>
      </c>
      <c r="I389" s="155">
        <f t="shared" si="27"/>
        <v>3</v>
      </c>
      <c r="J389" s="158">
        <v>50000</v>
      </c>
      <c r="K389" s="156" t="s">
        <v>1408</v>
      </c>
      <c r="L389" s="155" t="s">
        <v>204</v>
      </c>
    </row>
    <row r="390" spans="2:12">
      <c r="B390" s="155" t="s">
        <v>727</v>
      </c>
      <c r="C390" s="155" t="s">
        <v>56</v>
      </c>
      <c r="D390" s="156"/>
      <c r="E390" s="155" t="s">
        <v>31</v>
      </c>
      <c r="F390" s="155" t="s">
        <v>1374</v>
      </c>
      <c r="G390" s="157">
        <v>45978</v>
      </c>
      <c r="H390" s="157">
        <v>45984</v>
      </c>
      <c r="I390" s="155">
        <f t="shared" si="27"/>
        <v>6</v>
      </c>
      <c r="J390" s="158">
        <v>7251</v>
      </c>
      <c r="K390" s="156" t="s">
        <v>1417</v>
      </c>
      <c r="L390" s="155" t="s">
        <v>204</v>
      </c>
    </row>
    <row r="391" spans="2:12">
      <c r="B391" s="155" t="s">
        <v>1376</v>
      </c>
      <c r="C391" s="155" t="s">
        <v>31</v>
      </c>
      <c r="D391" s="156"/>
      <c r="E391" s="155" t="s">
        <v>128</v>
      </c>
      <c r="F391" s="155" t="s">
        <v>1377</v>
      </c>
      <c r="G391" s="157">
        <v>45978</v>
      </c>
      <c r="H391" s="157">
        <v>45986</v>
      </c>
      <c r="I391" s="155">
        <f t="shared" si="27"/>
        <v>8</v>
      </c>
      <c r="J391" s="158">
        <v>131329</v>
      </c>
      <c r="K391" s="156" t="s">
        <v>1516</v>
      </c>
      <c r="L391" s="155" t="s">
        <v>204</v>
      </c>
    </row>
    <row r="392" spans="2:12">
      <c r="B392" s="155" t="s">
        <v>166</v>
      </c>
      <c r="C392" s="155" t="s">
        <v>48</v>
      </c>
      <c r="D392" s="156"/>
      <c r="E392" s="155" t="s">
        <v>26</v>
      </c>
      <c r="F392" s="155" t="s">
        <v>1378</v>
      </c>
      <c r="G392" s="157">
        <v>45978</v>
      </c>
      <c r="H392" s="157">
        <v>45985</v>
      </c>
      <c r="I392" s="155">
        <f t="shared" si="27"/>
        <v>7</v>
      </c>
      <c r="J392" s="161">
        <v>4637</v>
      </c>
      <c r="K392" s="156" t="s">
        <v>1502</v>
      </c>
      <c r="L392" s="155" t="s">
        <v>204</v>
      </c>
    </row>
    <row r="393" spans="2:12">
      <c r="B393" s="155" t="s">
        <v>1381</v>
      </c>
      <c r="C393" s="155" t="s">
        <v>48</v>
      </c>
      <c r="D393" s="156"/>
      <c r="E393" s="155" t="s">
        <v>26</v>
      </c>
      <c r="F393" s="155" t="s">
        <v>1379</v>
      </c>
      <c r="G393" s="157">
        <v>45978</v>
      </c>
      <c r="H393" s="157">
        <v>45984</v>
      </c>
      <c r="I393" s="155">
        <f t="shared" si="27"/>
        <v>6</v>
      </c>
      <c r="J393" s="161">
        <v>6475</v>
      </c>
      <c r="K393" s="156" t="s">
        <v>1502</v>
      </c>
      <c r="L393" s="155" t="s">
        <v>204</v>
      </c>
    </row>
    <row r="394" spans="2:12">
      <c r="B394" s="155" t="s">
        <v>310</v>
      </c>
      <c r="C394" s="155" t="s">
        <v>48</v>
      </c>
      <c r="D394" s="156"/>
      <c r="E394" s="155" t="s">
        <v>26</v>
      </c>
      <c r="F394" s="155" t="s">
        <v>1380</v>
      </c>
      <c r="G394" s="157">
        <v>45978</v>
      </c>
      <c r="H394" s="157">
        <v>45986</v>
      </c>
      <c r="I394" s="155">
        <f t="shared" si="27"/>
        <v>8</v>
      </c>
      <c r="J394" s="161">
        <v>8800</v>
      </c>
      <c r="K394" s="156" t="s">
        <v>1516</v>
      </c>
      <c r="L394" s="155" t="s">
        <v>204</v>
      </c>
    </row>
    <row r="395" spans="2:12">
      <c r="B395" s="11" t="s">
        <v>178</v>
      </c>
      <c r="C395" s="11" t="s">
        <v>63</v>
      </c>
      <c r="D395" s="78"/>
      <c r="E395" s="11" t="s">
        <v>64</v>
      </c>
      <c r="F395" s="11" t="s">
        <v>1382</v>
      </c>
      <c r="G395" s="318">
        <v>45978</v>
      </c>
      <c r="H395" s="318">
        <v>45987</v>
      </c>
      <c r="I395" s="11">
        <f t="shared" ref="I395:I403" si="28">H395-G395</f>
        <v>9</v>
      </c>
      <c r="J395" s="29">
        <v>12503</v>
      </c>
      <c r="K395" s="78"/>
      <c r="L395" s="11"/>
    </row>
    <row r="396" spans="2:12">
      <c r="B396" s="155" t="s">
        <v>736</v>
      </c>
      <c r="C396" s="155" t="s">
        <v>432</v>
      </c>
      <c r="D396" s="156"/>
      <c r="E396" s="155" t="s">
        <v>390</v>
      </c>
      <c r="F396" s="155" t="s">
        <v>1385</v>
      </c>
      <c r="G396" s="157">
        <v>45978</v>
      </c>
      <c r="H396" s="157">
        <v>45988</v>
      </c>
      <c r="I396" s="155">
        <f t="shared" si="28"/>
        <v>10</v>
      </c>
      <c r="J396" s="158">
        <v>4320</v>
      </c>
      <c r="K396" s="156" t="s">
        <v>1550</v>
      </c>
      <c r="L396" s="155" t="s">
        <v>204</v>
      </c>
    </row>
    <row r="397" spans="2:12">
      <c r="B397" s="155" t="s">
        <v>167</v>
      </c>
      <c r="C397" s="155" t="s">
        <v>56</v>
      </c>
      <c r="D397" s="156"/>
      <c r="E397" s="155" t="s">
        <v>31</v>
      </c>
      <c r="F397" s="155" t="s">
        <v>1389</v>
      </c>
      <c r="G397" s="157">
        <v>45978</v>
      </c>
      <c r="H397" s="157">
        <v>45985</v>
      </c>
      <c r="I397" s="155">
        <f t="shared" si="28"/>
        <v>7</v>
      </c>
      <c r="J397" s="158">
        <v>12170</v>
      </c>
      <c r="K397" s="156" t="s">
        <v>1502</v>
      </c>
      <c r="L397" s="155" t="s">
        <v>204</v>
      </c>
    </row>
    <row r="398" spans="2:12">
      <c r="B398" s="11" t="s">
        <v>1391</v>
      </c>
      <c r="C398" s="11" t="s">
        <v>31</v>
      </c>
      <c r="D398" s="78"/>
      <c r="E398" s="11" t="s">
        <v>128</v>
      </c>
      <c r="F398" s="11" t="s">
        <v>1390</v>
      </c>
      <c r="G398" s="318">
        <v>45978</v>
      </c>
      <c r="H398" s="318">
        <v>45991</v>
      </c>
      <c r="I398" s="11">
        <f t="shared" si="28"/>
        <v>13</v>
      </c>
      <c r="J398" s="29">
        <v>51780</v>
      </c>
      <c r="K398" s="78"/>
      <c r="L398" s="11"/>
    </row>
    <row r="399" spans="2:12">
      <c r="B399" s="11" t="s">
        <v>1137</v>
      </c>
      <c r="C399" s="11" t="s">
        <v>63</v>
      </c>
      <c r="D399" s="78"/>
      <c r="E399" s="11" t="s">
        <v>64</v>
      </c>
      <c r="F399" s="11" t="s">
        <v>1394</v>
      </c>
      <c r="G399" s="318">
        <v>45979</v>
      </c>
      <c r="H399" s="318">
        <v>45989</v>
      </c>
      <c r="I399" s="11">
        <f t="shared" si="28"/>
        <v>10</v>
      </c>
      <c r="J399" s="80">
        <v>10000</v>
      </c>
      <c r="K399" s="78"/>
      <c r="L399" s="11"/>
    </row>
    <row r="400" spans="2:12">
      <c r="B400" s="11" t="s">
        <v>1396</v>
      </c>
      <c r="C400" s="11" t="s">
        <v>63</v>
      </c>
      <c r="D400" s="78"/>
      <c r="E400" s="11" t="s">
        <v>64</v>
      </c>
      <c r="F400" s="11" t="s">
        <v>1395</v>
      </c>
      <c r="G400" s="318">
        <v>45979</v>
      </c>
      <c r="H400" s="318">
        <v>45989</v>
      </c>
      <c r="I400" s="11">
        <f t="shared" si="28"/>
        <v>10</v>
      </c>
      <c r="J400" s="80">
        <v>10133</v>
      </c>
      <c r="K400" s="78"/>
      <c r="L400" s="11"/>
    </row>
    <row r="401" spans="2:14">
      <c r="B401" s="155" t="s">
        <v>425</v>
      </c>
      <c r="C401" s="155" t="s">
        <v>48</v>
      </c>
      <c r="D401" s="156"/>
      <c r="E401" s="155" t="s">
        <v>26</v>
      </c>
      <c r="F401" s="155" t="s">
        <v>1399</v>
      </c>
      <c r="G401" s="157">
        <v>45979</v>
      </c>
      <c r="H401" s="157">
        <v>45985</v>
      </c>
      <c r="I401" s="155">
        <f t="shared" si="28"/>
        <v>6</v>
      </c>
      <c r="J401" s="158">
        <v>4643</v>
      </c>
      <c r="K401" s="156" t="s">
        <v>1502</v>
      </c>
      <c r="L401" s="155" t="s">
        <v>204</v>
      </c>
    </row>
    <row r="402" spans="2:14">
      <c r="B402" s="21" t="s">
        <v>1387</v>
      </c>
      <c r="C402" s="11" t="s">
        <v>56</v>
      </c>
      <c r="D402" s="78"/>
      <c r="E402" s="11" t="s">
        <v>31</v>
      </c>
      <c r="F402" s="11" t="s">
        <v>1400</v>
      </c>
      <c r="G402" s="318">
        <v>45979</v>
      </c>
      <c r="H402" s="318">
        <v>45986</v>
      </c>
      <c r="I402" s="11">
        <f t="shared" si="28"/>
        <v>7</v>
      </c>
      <c r="J402" s="29">
        <v>10440</v>
      </c>
      <c r="K402" s="78"/>
      <c r="L402" s="11"/>
    </row>
    <row r="403" spans="2:14">
      <c r="B403" s="11" t="s">
        <v>408</v>
      </c>
      <c r="C403" s="11" t="s">
        <v>432</v>
      </c>
      <c r="D403" s="78"/>
      <c r="E403" s="11" t="s">
        <v>390</v>
      </c>
      <c r="F403" s="11" t="s">
        <v>1403</v>
      </c>
      <c r="G403" s="318">
        <v>45979</v>
      </c>
      <c r="H403" s="318">
        <v>45991</v>
      </c>
      <c r="I403" s="11">
        <f t="shared" si="28"/>
        <v>12</v>
      </c>
      <c r="J403" s="29">
        <v>11899</v>
      </c>
      <c r="K403" s="78"/>
      <c r="L403" s="11"/>
    </row>
    <row r="404" spans="2:14">
      <c r="B404" s="155" t="s">
        <v>1412</v>
      </c>
      <c r="C404" s="155" t="s">
        <v>56</v>
      </c>
      <c r="D404" s="156"/>
      <c r="E404" s="155" t="s">
        <v>31</v>
      </c>
      <c r="F404" s="155" t="s">
        <v>1409</v>
      </c>
      <c r="G404" s="157">
        <v>45980</v>
      </c>
      <c r="H404" s="157">
        <v>45981</v>
      </c>
      <c r="I404" s="155">
        <f t="shared" ref="I404:I421" si="29">H404-G404</f>
        <v>1</v>
      </c>
      <c r="J404" s="161">
        <v>3000</v>
      </c>
      <c r="K404" s="156" t="s">
        <v>1475</v>
      </c>
      <c r="L404" s="155" t="s">
        <v>204</v>
      </c>
    </row>
    <row r="405" spans="2:14">
      <c r="B405" s="155" t="s">
        <v>179</v>
      </c>
      <c r="C405" s="155" t="s">
        <v>56</v>
      </c>
      <c r="D405" s="156"/>
      <c r="E405" s="155" t="s">
        <v>31</v>
      </c>
      <c r="F405" s="155" t="s">
        <v>1410</v>
      </c>
      <c r="G405" s="157">
        <v>45980</v>
      </c>
      <c r="H405" s="157">
        <v>45988</v>
      </c>
      <c r="I405" s="155">
        <f t="shared" si="29"/>
        <v>8</v>
      </c>
      <c r="J405" s="161">
        <v>6550</v>
      </c>
      <c r="K405" s="156" t="s">
        <v>1550</v>
      </c>
      <c r="L405" s="155" t="s">
        <v>204</v>
      </c>
      <c r="M405" s="168"/>
      <c r="N405" s="168"/>
    </row>
    <row r="406" spans="2:14">
      <c r="B406" s="155" t="s">
        <v>900</v>
      </c>
      <c r="C406" s="155" t="s">
        <v>56</v>
      </c>
      <c r="D406" s="156"/>
      <c r="E406" s="155" t="s">
        <v>31</v>
      </c>
      <c r="F406" s="155" t="s">
        <v>1411</v>
      </c>
      <c r="G406" s="157">
        <v>45980</v>
      </c>
      <c r="H406" s="157">
        <v>45987</v>
      </c>
      <c r="I406" s="155">
        <f t="shared" si="29"/>
        <v>7</v>
      </c>
      <c r="J406" s="161">
        <v>7320</v>
      </c>
      <c r="K406" s="156" t="s">
        <v>1538</v>
      </c>
      <c r="L406" s="155" t="s">
        <v>204</v>
      </c>
      <c r="M406" s="168"/>
      <c r="N406" s="168"/>
    </row>
    <row r="407" spans="2:14">
      <c r="B407" s="11" t="s">
        <v>553</v>
      </c>
      <c r="C407" s="11" t="s">
        <v>432</v>
      </c>
      <c r="D407" s="78"/>
      <c r="E407" s="11" t="s">
        <v>390</v>
      </c>
      <c r="F407" s="11" t="s">
        <v>1413</v>
      </c>
      <c r="G407" s="318">
        <v>45980</v>
      </c>
      <c r="H407" s="318">
        <v>45987</v>
      </c>
      <c r="I407" s="11">
        <f t="shared" si="29"/>
        <v>7</v>
      </c>
      <c r="J407" s="29">
        <v>3447</v>
      </c>
      <c r="K407" s="78"/>
      <c r="L407" s="11"/>
      <c r="M407" s="168"/>
      <c r="N407" s="168"/>
    </row>
    <row r="408" spans="2:14">
      <c r="B408" s="155" t="s">
        <v>891</v>
      </c>
      <c r="C408" s="155" t="s">
        <v>63</v>
      </c>
      <c r="D408" s="156"/>
      <c r="E408" s="155" t="s">
        <v>31</v>
      </c>
      <c r="F408" s="155" t="s">
        <v>1414</v>
      </c>
      <c r="G408" s="157">
        <v>45980</v>
      </c>
      <c r="H408" s="157">
        <v>45983</v>
      </c>
      <c r="I408" s="155">
        <f t="shared" si="29"/>
        <v>3</v>
      </c>
      <c r="J408" s="158">
        <v>10000</v>
      </c>
      <c r="K408" s="156" t="s">
        <v>1502</v>
      </c>
      <c r="L408" s="155" t="s">
        <v>204</v>
      </c>
      <c r="M408" s="168"/>
      <c r="N408" s="168"/>
    </row>
    <row r="409" spans="2:14">
      <c r="B409" s="11" t="s">
        <v>485</v>
      </c>
      <c r="C409" s="11" t="s">
        <v>63</v>
      </c>
      <c r="D409" s="78"/>
      <c r="E409" s="11" t="s">
        <v>64</v>
      </c>
      <c r="F409" s="11" t="s">
        <v>1418</v>
      </c>
      <c r="G409" s="318">
        <v>45981</v>
      </c>
      <c r="H409" s="318">
        <v>45989</v>
      </c>
      <c r="I409" s="11">
        <f t="shared" si="29"/>
        <v>8</v>
      </c>
      <c r="J409" s="29">
        <v>4806</v>
      </c>
      <c r="K409" s="78"/>
      <c r="L409" s="11"/>
      <c r="M409" s="168"/>
      <c r="N409" s="168"/>
    </row>
    <row r="410" spans="2:14">
      <c r="B410" s="11" t="s">
        <v>926</v>
      </c>
      <c r="C410" s="11" t="s">
        <v>56</v>
      </c>
      <c r="D410" s="78"/>
      <c r="E410" s="11" t="s">
        <v>31</v>
      </c>
      <c r="F410" s="11" t="s">
        <v>1420</v>
      </c>
      <c r="G410" s="318">
        <v>45981</v>
      </c>
      <c r="H410" s="318">
        <v>45989</v>
      </c>
      <c r="I410" s="11">
        <f t="shared" si="29"/>
        <v>8</v>
      </c>
      <c r="J410" s="99">
        <v>8002</v>
      </c>
      <c r="K410" s="78"/>
      <c r="L410" s="11"/>
      <c r="M410" s="168"/>
      <c r="N410" s="168"/>
    </row>
    <row r="411" spans="2:14">
      <c r="B411" s="11" t="s">
        <v>1426</v>
      </c>
      <c r="C411" s="11" t="s">
        <v>56</v>
      </c>
      <c r="D411" s="78"/>
      <c r="E411" s="11" t="s">
        <v>31</v>
      </c>
      <c r="F411" s="11" t="s">
        <v>1421</v>
      </c>
      <c r="G411" s="318">
        <v>45981</v>
      </c>
      <c r="H411" s="318">
        <v>45990</v>
      </c>
      <c r="I411" s="11">
        <f t="shared" si="29"/>
        <v>9</v>
      </c>
      <c r="J411" s="99">
        <v>4000</v>
      </c>
      <c r="K411" s="78"/>
      <c r="L411" s="11"/>
      <c r="M411" s="168"/>
      <c r="N411" s="168"/>
    </row>
    <row r="412" spans="2:14">
      <c r="B412" s="155" t="s">
        <v>800</v>
      </c>
      <c r="C412" s="155" t="s">
        <v>56</v>
      </c>
      <c r="D412" s="156"/>
      <c r="E412" s="155" t="s">
        <v>31</v>
      </c>
      <c r="F412" s="155" t="s">
        <v>1422</v>
      </c>
      <c r="G412" s="157">
        <v>45981</v>
      </c>
      <c r="H412" s="157">
        <v>45988</v>
      </c>
      <c r="I412" s="155">
        <f t="shared" si="29"/>
        <v>7</v>
      </c>
      <c r="J412" s="161">
        <v>4607</v>
      </c>
      <c r="K412" s="156" t="s">
        <v>1550</v>
      </c>
      <c r="L412" s="155" t="s">
        <v>204</v>
      </c>
      <c r="M412" s="168"/>
      <c r="N412" s="168"/>
    </row>
    <row r="413" spans="2:14">
      <c r="B413" s="155" t="s">
        <v>870</v>
      </c>
      <c r="C413" s="155" t="s">
        <v>56</v>
      </c>
      <c r="D413" s="156"/>
      <c r="E413" s="155" t="s">
        <v>31</v>
      </c>
      <c r="F413" s="155" t="s">
        <v>1563</v>
      </c>
      <c r="G413" s="157">
        <v>45981</v>
      </c>
      <c r="H413" s="157">
        <v>45988</v>
      </c>
      <c r="I413" s="155">
        <f t="shared" si="29"/>
        <v>7</v>
      </c>
      <c r="J413" s="161">
        <v>9758</v>
      </c>
      <c r="K413" s="156" t="s">
        <v>1550</v>
      </c>
      <c r="L413" s="155" t="s">
        <v>204</v>
      </c>
      <c r="M413" s="168"/>
      <c r="N413" s="168"/>
    </row>
    <row r="414" spans="2:14">
      <c r="B414" s="155" t="s">
        <v>310</v>
      </c>
      <c r="C414" s="155" t="s">
        <v>56</v>
      </c>
      <c r="D414" s="156"/>
      <c r="E414" s="155" t="s">
        <v>31</v>
      </c>
      <c r="F414" s="155" t="s">
        <v>1423</v>
      </c>
      <c r="G414" s="157">
        <v>45981</v>
      </c>
      <c r="H414" s="157">
        <v>45987</v>
      </c>
      <c r="I414" s="155">
        <f t="shared" si="29"/>
        <v>6</v>
      </c>
      <c r="J414" s="161">
        <v>6000</v>
      </c>
      <c r="K414" s="156" t="s">
        <v>1538</v>
      </c>
      <c r="L414" s="155" t="s">
        <v>204</v>
      </c>
      <c r="M414" s="168"/>
      <c r="N414" s="168"/>
    </row>
    <row r="415" spans="2:14">
      <c r="B415" s="11" t="s">
        <v>439</v>
      </c>
      <c r="C415" s="11" t="s">
        <v>48</v>
      </c>
      <c r="D415" s="78"/>
      <c r="E415" s="11" t="s">
        <v>26</v>
      </c>
      <c r="F415" s="11" t="s">
        <v>1424</v>
      </c>
      <c r="G415" s="318">
        <v>45981</v>
      </c>
      <c r="H415" s="318">
        <v>45987</v>
      </c>
      <c r="I415" s="11">
        <f t="shared" si="29"/>
        <v>6</v>
      </c>
      <c r="J415" s="99">
        <v>10700</v>
      </c>
      <c r="K415" s="78"/>
      <c r="L415" s="11"/>
      <c r="M415" s="168"/>
      <c r="N415" s="168"/>
    </row>
    <row r="416" spans="2:14">
      <c r="B416" s="11" t="s">
        <v>167</v>
      </c>
      <c r="C416" s="11" t="s">
        <v>48</v>
      </c>
      <c r="D416" s="78"/>
      <c r="E416" s="11" t="s">
        <v>26</v>
      </c>
      <c r="F416" s="11" t="s">
        <v>1425</v>
      </c>
      <c r="G416" s="318">
        <v>45981</v>
      </c>
      <c r="H416" s="318">
        <v>45988</v>
      </c>
      <c r="I416" s="11">
        <f t="shared" si="29"/>
        <v>7</v>
      </c>
      <c r="J416" s="99">
        <v>14740</v>
      </c>
      <c r="K416" s="78"/>
      <c r="L416" s="11"/>
      <c r="M416" s="168"/>
      <c r="N416" s="168"/>
    </row>
    <row r="417" spans="2:14">
      <c r="B417" s="155" t="s">
        <v>1427</v>
      </c>
      <c r="C417" s="155" t="s">
        <v>56</v>
      </c>
      <c r="D417" s="156"/>
      <c r="E417" s="155" t="s">
        <v>31</v>
      </c>
      <c r="F417" s="155" t="s">
        <v>1428</v>
      </c>
      <c r="G417" s="157">
        <v>45981</v>
      </c>
      <c r="H417" s="157">
        <v>45986</v>
      </c>
      <c r="I417" s="155">
        <f t="shared" si="29"/>
        <v>5</v>
      </c>
      <c r="J417" s="158">
        <v>3900</v>
      </c>
      <c r="K417" s="156" t="s">
        <v>1550</v>
      </c>
      <c r="L417" s="155" t="s">
        <v>204</v>
      </c>
      <c r="M417" s="168"/>
      <c r="N417" s="168"/>
    </row>
    <row r="418" spans="2:14">
      <c r="B418" s="155" t="s">
        <v>1429</v>
      </c>
      <c r="C418" s="155" t="s">
        <v>31</v>
      </c>
      <c r="D418" s="156"/>
      <c r="E418" s="155" t="s">
        <v>128</v>
      </c>
      <c r="F418" s="155" t="s">
        <v>1430</v>
      </c>
      <c r="G418" s="157">
        <v>45981</v>
      </c>
      <c r="H418" s="157">
        <v>45983</v>
      </c>
      <c r="I418" s="155">
        <f t="shared" si="29"/>
        <v>2</v>
      </c>
      <c r="J418" s="158">
        <v>28460</v>
      </c>
      <c r="K418" s="156" t="s">
        <v>1502</v>
      </c>
      <c r="L418" s="155" t="s">
        <v>204</v>
      </c>
      <c r="M418" s="168"/>
      <c r="N418" s="168"/>
    </row>
    <row r="419" spans="2:14">
      <c r="B419" s="11" t="s">
        <v>1432</v>
      </c>
      <c r="C419" s="11" t="s">
        <v>31</v>
      </c>
      <c r="D419" s="78"/>
      <c r="E419" s="11" t="s">
        <v>128</v>
      </c>
      <c r="F419" s="11" t="s">
        <v>1433</v>
      </c>
      <c r="G419" s="318">
        <v>45981</v>
      </c>
      <c r="H419" s="318">
        <v>45981</v>
      </c>
      <c r="I419" s="11">
        <f t="shared" si="29"/>
        <v>0</v>
      </c>
      <c r="J419" s="29">
        <v>94940</v>
      </c>
      <c r="K419" s="78"/>
      <c r="L419" s="11"/>
      <c r="M419" s="168"/>
      <c r="N419" s="168"/>
    </row>
    <row r="420" spans="2:14">
      <c r="B420" s="11" t="s">
        <v>973</v>
      </c>
      <c r="C420" s="11" t="s">
        <v>31</v>
      </c>
      <c r="D420" s="78"/>
      <c r="E420" s="11" t="s">
        <v>128</v>
      </c>
      <c r="F420" s="11" t="s">
        <v>1440</v>
      </c>
      <c r="G420" s="318">
        <v>45981</v>
      </c>
      <c r="H420" s="318">
        <v>45989</v>
      </c>
      <c r="I420" s="11">
        <f t="shared" si="29"/>
        <v>8</v>
      </c>
      <c r="J420" s="99">
        <v>13500</v>
      </c>
      <c r="K420" s="78"/>
      <c r="L420" s="11"/>
      <c r="M420" s="168"/>
      <c r="N420" s="168"/>
    </row>
    <row r="421" spans="2:14">
      <c r="B421" s="11" t="s">
        <v>583</v>
      </c>
      <c r="C421" s="11" t="s">
        <v>31</v>
      </c>
      <c r="D421" s="78"/>
      <c r="E421" s="11" t="s">
        <v>128</v>
      </c>
      <c r="F421" s="11" t="s">
        <v>1441</v>
      </c>
      <c r="G421" s="318">
        <v>45981</v>
      </c>
      <c r="H421" s="318">
        <v>45997</v>
      </c>
      <c r="I421" s="11">
        <f t="shared" si="29"/>
        <v>16</v>
      </c>
      <c r="J421" s="99">
        <v>20000</v>
      </c>
      <c r="K421" s="78"/>
      <c r="L421" s="11"/>
      <c r="M421" s="168"/>
      <c r="N421" s="168"/>
    </row>
    <row r="422" spans="2:14">
      <c r="B422" s="11" t="s">
        <v>1363</v>
      </c>
      <c r="C422" s="11" t="s">
        <v>31</v>
      </c>
      <c r="D422" s="78"/>
      <c r="E422" s="11" t="s">
        <v>128</v>
      </c>
      <c r="F422" s="11" t="s">
        <v>1439</v>
      </c>
      <c r="G422" s="318">
        <v>45981</v>
      </c>
      <c r="H422" s="318">
        <v>45996</v>
      </c>
      <c r="I422" s="11">
        <f t="shared" ref="I422:I438" si="30">H422-G422</f>
        <v>15</v>
      </c>
      <c r="J422" s="99">
        <v>26500</v>
      </c>
      <c r="K422" s="78"/>
      <c r="L422" s="11"/>
      <c r="M422" s="168"/>
      <c r="N422" s="168"/>
    </row>
    <row r="423" spans="2:14">
      <c r="B423" s="11" t="s">
        <v>1363</v>
      </c>
      <c r="C423" s="11" t="s">
        <v>31</v>
      </c>
      <c r="D423" s="78"/>
      <c r="E423" s="11" t="s">
        <v>128</v>
      </c>
      <c r="F423" s="11" t="s">
        <v>1438</v>
      </c>
      <c r="G423" s="318">
        <v>45981</v>
      </c>
      <c r="H423" s="318">
        <v>45998</v>
      </c>
      <c r="I423" s="11">
        <f t="shared" si="30"/>
        <v>17</v>
      </c>
      <c r="J423" s="99">
        <v>26500</v>
      </c>
      <c r="K423" s="78"/>
      <c r="L423" s="11"/>
      <c r="M423" s="168"/>
      <c r="N423" s="168"/>
    </row>
    <row r="424" spans="2:14">
      <c r="B424" s="11" t="s">
        <v>1436</v>
      </c>
      <c r="C424" s="11" t="s">
        <v>31</v>
      </c>
      <c r="D424" s="78"/>
      <c r="E424" s="11" t="s">
        <v>128</v>
      </c>
      <c r="F424" s="11" t="s">
        <v>1437</v>
      </c>
      <c r="G424" s="318">
        <v>45981</v>
      </c>
      <c r="H424" s="318">
        <v>45996</v>
      </c>
      <c r="I424" s="11">
        <f t="shared" si="30"/>
        <v>15</v>
      </c>
      <c r="J424" s="99">
        <v>27205</v>
      </c>
      <c r="K424" s="78"/>
      <c r="L424" s="11"/>
      <c r="M424" s="168"/>
      <c r="N424" s="168"/>
    </row>
    <row r="425" spans="2:14">
      <c r="B425" s="11" t="s">
        <v>1207</v>
      </c>
      <c r="C425" s="11" t="s">
        <v>31</v>
      </c>
      <c r="D425" s="78"/>
      <c r="E425" s="11" t="s">
        <v>128</v>
      </c>
      <c r="F425" s="11" t="s">
        <v>1444</v>
      </c>
      <c r="G425" s="318">
        <v>45981</v>
      </c>
      <c r="H425" s="318">
        <v>45993</v>
      </c>
      <c r="I425" s="11">
        <f t="shared" si="30"/>
        <v>12</v>
      </c>
      <c r="J425" s="29">
        <v>32000</v>
      </c>
      <c r="K425" s="78"/>
      <c r="L425" s="11"/>
      <c r="M425" s="168"/>
      <c r="N425" s="168"/>
    </row>
    <row r="426" spans="2:14">
      <c r="B426" s="11" t="s">
        <v>1207</v>
      </c>
      <c r="C426" s="11" t="s">
        <v>31</v>
      </c>
      <c r="D426" s="78"/>
      <c r="E426" s="11" t="s">
        <v>128</v>
      </c>
      <c r="F426" s="11" t="s">
        <v>1445</v>
      </c>
      <c r="G426" s="318">
        <v>45981</v>
      </c>
      <c r="H426" s="318">
        <v>45996</v>
      </c>
      <c r="I426" s="11">
        <f t="shared" si="30"/>
        <v>15</v>
      </c>
      <c r="J426" s="29">
        <v>32000</v>
      </c>
      <c r="K426" s="78"/>
      <c r="L426" s="11"/>
      <c r="M426" s="168"/>
      <c r="N426" s="168"/>
    </row>
    <row r="427" spans="2:14">
      <c r="B427" s="11" t="s">
        <v>1442</v>
      </c>
      <c r="C427" s="11" t="s">
        <v>31</v>
      </c>
      <c r="D427" s="78"/>
      <c r="E427" s="11" t="s">
        <v>128</v>
      </c>
      <c r="F427" s="11" t="s">
        <v>1446</v>
      </c>
      <c r="G427" s="318">
        <v>45981</v>
      </c>
      <c r="H427" s="318">
        <v>45999</v>
      </c>
      <c r="I427" s="11">
        <f t="shared" si="30"/>
        <v>18</v>
      </c>
      <c r="J427" s="29">
        <v>32000</v>
      </c>
      <c r="K427" s="78"/>
      <c r="L427" s="11"/>
      <c r="M427" s="168"/>
      <c r="N427" s="168"/>
    </row>
    <row r="428" spans="2:14">
      <c r="B428" s="11" t="s">
        <v>1443</v>
      </c>
      <c r="C428" s="11" t="s">
        <v>31</v>
      </c>
      <c r="D428" s="78"/>
      <c r="E428" s="11" t="s">
        <v>128</v>
      </c>
      <c r="F428" s="11" t="s">
        <v>1447</v>
      </c>
      <c r="G428" s="318">
        <v>45981</v>
      </c>
      <c r="H428" s="318">
        <v>46002</v>
      </c>
      <c r="I428" s="11">
        <f t="shared" si="30"/>
        <v>21</v>
      </c>
      <c r="J428" s="29">
        <v>32250</v>
      </c>
      <c r="K428" s="78"/>
      <c r="L428" s="11"/>
      <c r="M428" s="168"/>
      <c r="N428" s="168"/>
    </row>
    <row r="429" spans="2:14">
      <c r="B429" s="11" t="s">
        <v>426</v>
      </c>
      <c r="C429" s="11" t="s">
        <v>432</v>
      </c>
      <c r="D429" s="78"/>
      <c r="E429" s="11" t="s">
        <v>390</v>
      </c>
      <c r="F429" s="11" t="s">
        <v>1455</v>
      </c>
      <c r="G429" s="318">
        <v>45981</v>
      </c>
      <c r="H429" s="318">
        <v>45994</v>
      </c>
      <c r="I429" s="11">
        <f t="shared" si="30"/>
        <v>13</v>
      </c>
      <c r="J429" s="29">
        <v>10000</v>
      </c>
      <c r="K429" s="78"/>
      <c r="L429" s="11"/>
      <c r="M429" s="168"/>
      <c r="N429" s="168"/>
    </row>
    <row r="430" spans="2:14">
      <c r="B430" s="155" t="s">
        <v>480</v>
      </c>
      <c r="C430" s="155" t="s">
        <v>48</v>
      </c>
      <c r="D430" s="156"/>
      <c r="E430" s="155" t="s">
        <v>26</v>
      </c>
      <c r="F430" s="155" t="s">
        <v>1457</v>
      </c>
      <c r="G430" s="157">
        <v>45981</v>
      </c>
      <c r="H430" s="157">
        <v>45988</v>
      </c>
      <c r="I430" s="155">
        <f t="shared" si="30"/>
        <v>7</v>
      </c>
      <c r="J430" s="158">
        <v>7864</v>
      </c>
      <c r="K430" s="156" t="s">
        <v>1550</v>
      </c>
      <c r="L430" s="155" t="s">
        <v>204</v>
      </c>
      <c r="M430" s="168"/>
      <c r="N430" s="168"/>
    </row>
    <row r="431" spans="2:14">
      <c r="B431" s="11" t="s">
        <v>727</v>
      </c>
      <c r="C431" s="11" t="s">
        <v>48</v>
      </c>
      <c r="D431" s="78"/>
      <c r="E431" s="11" t="s">
        <v>26</v>
      </c>
      <c r="F431" s="11" t="s">
        <v>1458</v>
      </c>
      <c r="G431" s="318">
        <v>45981</v>
      </c>
      <c r="H431" s="318">
        <v>45989</v>
      </c>
      <c r="I431" s="11">
        <f t="shared" si="30"/>
        <v>8</v>
      </c>
      <c r="J431" s="29">
        <v>4366</v>
      </c>
      <c r="K431" s="78"/>
      <c r="L431" s="11"/>
      <c r="M431" s="168"/>
      <c r="N431" s="168"/>
    </row>
    <row r="432" spans="2:14">
      <c r="B432" s="11" t="s">
        <v>149</v>
      </c>
      <c r="C432" s="11" t="s">
        <v>31</v>
      </c>
      <c r="D432" s="78"/>
      <c r="E432" s="11" t="s">
        <v>128</v>
      </c>
      <c r="F432" s="11" t="s">
        <v>1460</v>
      </c>
      <c r="G432" s="318">
        <v>45983</v>
      </c>
      <c r="H432" s="318">
        <v>45990</v>
      </c>
      <c r="I432" s="11">
        <f t="shared" si="30"/>
        <v>7</v>
      </c>
      <c r="J432" s="29">
        <v>67020</v>
      </c>
      <c r="K432" s="78"/>
      <c r="L432" s="11"/>
      <c r="M432" s="168"/>
      <c r="N432" s="168"/>
    </row>
    <row r="433" spans="2:14">
      <c r="B433" s="11" t="s">
        <v>177</v>
      </c>
      <c r="C433" s="11" t="s">
        <v>432</v>
      </c>
      <c r="D433" s="78"/>
      <c r="E433" s="11" t="s">
        <v>390</v>
      </c>
      <c r="F433" s="11" t="s">
        <v>1461</v>
      </c>
      <c r="G433" s="318">
        <v>45983</v>
      </c>
      <c r="H433" s="187">
        <v>45993</v>
      </c>
      <c r="I433" s="11">
        <f t="shared" si="30"/>
        <v>10</v>
      </c>
      <c r="J433" s="99">
        <v>5877</v>
      </c>
      <c r="K433" s="78"/>
      <c r="L433" s="11"/>
      <c r="M433" s="168"/>
      <c r="N433" s="168"/>
    </row>
    <row r="434" spans="2:14">
      <c r="B434" s="11" t="s">
        <v>39</v>
      </c>
      <c r="C434" s="11" t="s">
        <v>432</v>
      </c>
      <c r="D434" s="78"/>
      <c r="E434" s="11" t="s">
        <v>390</v>
      </c>
      <c r="F434" s="11" t="s">
        <v>1503</v>
      </c>
      <c r="G434" s="318">
        <v>45983</v>
      </c>
      <c r="H434" s="187">
        <v>45992</v>
      </c>
      <c r="I434" s="11">
        <f t="shared" si="30"/>
        <v>9</v>
      </c>
      <c r="J434" s="99">
        <v>8600</v>
      </c>
      <c r="K434" s="78"/>
      <c r="L434" s="11"/>
      <c r="M434" s="168"/>
      <c r="N434" s="168"/>
    </row>
    <row r="435" spans="2:14">
      <c r="B435" s="11" t="s">
        <v>900</v>
      </c>
      <c r="C435" s="11" t="s">
        <v>48</v>
      </c>
      <c r="D435" s="78"/>
      <c r="E435" s="11" t="s">
        <v>26</v>
      </c>
      <c r="F435" s="11" t="s">
        <v>1462</v>
      </c>
      <c r="G435" s="318">
        <v>45983</v>
      </c>
      <c r="H435" s="318">
        <v>45990</v>
      </c>
      <c r="I435" s="11">
        <f t="shared" si="30"/>
        <v>7</v>
      </c>
      <c r="J435" s="29">
        <v>8000</v>
      </c>
      <c r="K435" s="78"/>
      <c r="L435" s="11"/>
      <c r="M435" s="168"/>
      <c r="N435" s="168"/>
    </row>
    <row r="436" spans="2:14">
      <c r="B436" s="11" t="s">
        <v>179</v>
      </c>
      <c r="C436" s="11" t="s">
        <v>48</v>
      </c>
      <c r="D436" s="78"/>
      <c r="E436" s="11" t="s">
        <v>26</v>
      </c>
      <c r="F436" s="11" t="s">
        <v>1463</v>
      </c>
      <c r="G436" s="318">
        <v>45983</v>
      </c>
      <c r="H436" s="318">
        <v>45991</v>
      </c>
      <c r="I436" s="11">
        <f t="shared" si="30"/>
        <v>8</v>
      </c>
      <c r="J436" s="29">
        <v>5955</v>
      </c>
      <c r="K436" s="78"/>
      <c r="L436" s="11"/>
      <c r="M436" s="168"/>
      <c r="N436" s="168"/>
    </row>
    <row r="437" spans="2:14">
      <c r="B437" s="11" t="s">
        <v>553</v>
      </c>
      <c r="C437" s="11" t="s">
        <v>63</v>
      </c>
      <c r="D437" s="78"/>
      <c r="E437" s="11" t="s">
        <v>64</v>
      </c>
      <c r="F437" s="11" t="s">
        <v>1464</v>
      </c>
      <c r="G437" s="318">
        <v>45983</v>
      </c>
      <c r="H437" s="318">
        <v>45990</v>
      </c>
      <c r="I437" s="11">
        <f t="shared" si="30"/>
        <v>7</v>
      </c>
      <c r="J437" s="29">
        <v>3728</v>
      </c>
      <c r="K437" s="78"/>
      <c r="L437" s="11"/>
      <c r="M437" s="168"/>
      <c r="N437" s="168"/>
    </row>
    <row r="438" spans="2:14">
      <c r="B438" s="11" t="s">
        <v>1465</v>
      </c>
      <c r="C438" s="11" t="s">
        <v>56</v>
      </c>
      <c r="D438" s="78"/>
      <c r="E438" s="11" t="s">
        <v>31</v>
      </c>
      <c r="F438" s="11" t="s">
        <v>1466</v>
      </c>
      <c r="G438" s="318">
        <v>45983</v>
      </c>
      <c r="H438" s="187">
        <v>45993</v>
      </c>
      <c r="I438" s="11">
        <f t="shared" si="30"/>
        <v>10</v>
      </c>
      <c r="J438" s="29">
        <v>12000</v>
      </c>
      <c r="K438" s="78"/>
      <c r="L438" s="11"/>
      <c r="M438" s="168"/>
      <c r="N438" s="168"/>
    </row>
    <row r="439" spans="2:14">
      <c r="B439" s="11" t="s">
        <v>1472</v>
      </c>
      <c r="C439" s="11" t="s">
        <v>63</v>
      </c>
      <c r="D439" s="78"/>
      <c r="E439" s="11" t="s">
        <v>64</v>
      </c>
      <c r="F439" s="11" t="s">
        <v>1469</v>
      </c>
      <c r="G439" s="318">
        <v>45985</v>
      </c>
      <c r="H439" s="318">
        <v>45995</v>
      </c>
      <c r="I439" s="11">
        <f t="shared" ref="I439:I449" si="31">H439-G439</f>
        <v>10</v>
      </c>
      <c r="J439" s="29">
        <v>23766</v>
      </c>
      <c r="K439" s="78"/>
      <c r="L439" s="11"/>
      <c r="M439" s="168"/>
      <c r="N439" s="168"/>
    </row>
    <row r="440" spans="2:14">
      <c r="B440" s="11" t="s">
        <v>1471</v>
      </c>
      <c r="C440" s="11" t="s">
        <v>63</v>
      </c>
      <c r="D440" s="78"/>
      <c r="E440" s="11" t="s">
        <v>64</v>
      </c>
      <c r="F440" s="11" t="s">
        <v>1470</v>
      </c>
      <c r="G440" s="318">
        <v>45985</v>
      </c>
      <c r="H440" s="318">
        <v>45994</v>
      </c>
      <c r="I440" s="11">
        <f t="shared" si="31"/>
        <v>9</v>
      </c>
      <c r="J440" s="29">
        <v>14222</v>
      </c>
      <c r="K440" s="78"/>
      <c r="L440" s="11"/>
      <c r="M440" s="168"/>
      <c r="N440" s="168"/>
    </row>
    <row r="441" spans="2:14">
      <c r="B441" s="11" t="s">
        <v>39</v>
      </c>
      <c r="C441" s="11" t="s">
        <v>63</v>
      </c>
      <c r="D441" s="78"/>
      <c r="E441" s="11" t="s">
        <v>64</v>
      </c>
      <c r="F441" s="11" t="s">
        <v>1481</v>
      </c>
      <c r="G441" s="318">
        <v>45985</v>
      </c>
      <c r="H441" s="318">
        <v>45989</v>
      </c>
      <c r="I441" s="11">
        <f t="shared" si="31"/>
        <v>4</v>
      </c>
      <c r="J441" s="29">
        <v>4869</v>
      </c>
      <c r="K441" s="78"/>
      <c r="L441" s="11"/>
      <c r="M441" s="168"/>
      <c r="N441" s="168"/>
    </row>
    <row r="442" spans="2:14">
      <c r="B442" s="11" t="s">
        <v>557</v>
      </c>
      <c r="C442" s="11" t="s">
        <v>56</v>
      </c>
      <c r="D442" s="78"/>
      <c r="E442" s="11" t="s">
        <v>31</v>
      </c>
      <c r="F442" s="11" t="s">
        <v>1482</v>
      </c>
      <c r="G442" s="318">
        <v>45985</v>
      </c>
      <c r="H442" s="318">
        <v>45993</v>
      </c>
      <c r="I442" s="11">
        <f t="shared" si="31"/>
        <v>8</v>
      </c>
      <c r="J442" s="29">
        <v>7000</v>
      </c>
      <c r="K442" s="78"/>
      <c r="L442" s="11"/>
      <c r="M442" s="168"/>
      <c r="N442" s="168"/>
    </row>
    <row r="443" spans="2:14">
      <c r="B443" s="11" t="s">
        <v>1484</v>
      </c>
      <c r="C443" s="11" t="s">
        <v>56</v>
      </c>
      <c r="D443" s="78"/>
      <c r="E443" s="11" t="s">
        <v>31</v>
      </c>
      <c r="F443" s="11" t="s">
        <v>1483</v>
      </c>
      <c r="G443" s="318">
        <v>45985</v>
      </c>
      <c r="H443" s="318">
        <v>45993</v>
      </c>
      <c r="I443" s="11">
        <f t="shared" si="31"/>
        <v>8</v>
      </c>
      <c r="J443" s="29">
        <v>14060</v>
      </c>
      <c r="K443" s="78"/>
      <c r="L443" s="11"/>
      <c r="M443" s="168"/>
      <c r="N443" s="168"/>
    </row>
    <row r="444" spans="2:14">
      <c r="B444" s="11" t="s">
        <v>870</v>
      </c>
      <c r="C444" s="11" t="s">
        <v>48</v>
      </c>
      <c r="D444" s="78"/>
      <c r="E444" s="11" t="s">
        <v>26</v>
      </c>
      <c r="F444" s="11" t="s">
        <v>1485</v>
      </c>
      <c r="G444" s="318">
        <v>45985</v>
      </c>
      <c r="H444" s="318">
        <v>45990</v>
      </c>
      <c r="I444" s="11">
        <f t="shared" si="31"/>
        <v>5</v>
      </c>
      <c r="J444" s="29">
        <v>12380</v>
      </c>
      <c r="K444" s="78"/>
      <c r="L444" s="11"/>
      <c r="M444" s="168"/>
      <c r="N444" s="168"/>
    </row>
    <row r="445" spans="2:14">
      <c r="B445" s="11" t="s">
        <v>1488</v>
      </c>
      <c r="C445" s="11" t="s">
        <v>48</v>
      </c>
      <c r="D445" s="78"/>
      <c r="E445" s="11" t="s">
        <v>26</v>
      </c>
      <c r="F445" s="11" t="s">
        <v>1486</v>
      </c>
      <c r="G445" s="318">
        <v>45985</v>
      </c>
      <c r="H445" s="318">
        <v>45993</v>
      </c>
      <c r="I445" s="11">
        <f t="shared" si="31"/>
        <v>8</v>
      </c>
      <c r="J445" s="29">
        <v>3700</v>
      </c>
      <c r="K445" s="78"/>
      <c r="L445" s="11"/>
      <c r="M445" s="168"/>
      <c r="N445" s="168"/>
    </row>
    <row r="446" spans="2:14">
      <c r="B446" s="11" t="s">
        <v>166</v>
      </c>
      <c r="C446" s="11" t="s">
        <v>48</v>
      </c>
      <c r="D446" s="78"/>
      <c r="E446" s="11" t="s">
        <v>26</v>
      </c>
      <c r="F446" s="11" t="s">
        <v>1487</v>
      </c>
      <c r="G446" s="318">
        <v>45985</v>
      </c>
      <c r="H446" s="318">
        <v>45992</v>
      </c>
      <c r="I446" s="11">
        <f t="shared" si="31"/>
        <v>7</v>
      </c>
      <c r="J446" s="29">
        <v>3176</v>
      </c>
      <c r="K446" s="78"/>
      <c r="L446" s="11"/>
      <c r="M446" s="168"/>
      <c r="N446" s="168"/>
    </row>
    <row r="447" spans="2:14">
      <c r="B447" s="11" t="s">
        <v>1496</v>
      </c>
      <c r="C447" s="11" t="s">
        <v>63</v>
      </c>
      <c r="D447" s="78"/>
      <c r="E447" s="11" t="s">
        <v>64</v>
      </c>
      <c r="F447" s="11" t="s">
        <v>1493</v>
      </c>
      <c r="G447" s="318">
        <v>45986</v>
      </c>
      <c r="H447" s="318">
        <v>45996</v>
      </c>
      <c r="I447" s="11">
        <f t="shared" si="31"/>
        <v>10</v>
      </c>
      <c r="J447" s="29">
        <v>12058</v>
      </c>
      <c r="K447" s="78"/>
      <c r="L447" s="11"/>
      <c r="M447" s="168"/>
      <c r="N447" s="168"/>
    </row>
    <row r="448" spans="2:14">
      <c r="B448" s="11" t="s">
        <v>1495</v>
      </c>
      <c r="C448" s="11" t="s">
        <v>63</v>
      </c>
      <c r="D448" s="78"/>
      <c r="E448" s="11" t="s">
        <v>64</v>
      </c>
      <c r="F448" s="11" t="s">
        <v>1494</v>
      </c>
      <c r="G448" s="318">
        <v>45986</v>
      </c>
      <c r="H448" s="318">
        <v>45996</v>
      </c>
      <c r="I448" s="11">
        <f t="shared" si="31"/>
        <v>10</v>
      </c>
      <c r="J448" s="29">
        <v>6800</v>
      </c>
      <c r="K448" s="78"/>
      <c r="L448" s="11"/>
      <c r="M448" s="168"/>
      <c r="N448" s="168"/>
    </row>
    <row r="449" spans="2:14">
      <c r="B449" s="11" t="s">
        <v>425</v>
      </c>
      <c r="C449" s="11" t="s">
        <v>48</v>
      </c>
      <c r="D449" s="78"/>
      <c r="E449" s="11" t="s">
        <v>26</v>
      </c>
      <c r="F449" s="11" t="s">
        <v>1497</v>
      </c>
      <c r="G449" s="318">
        <v>45986</v>
      </c>
      <c r="H449" s="187">
        <v>45992</v>
      </c>
      <c r="I449" s="11">
        <f t="shared" si="31"/>
        <v>6</v>
      </c>
      <c r="J449" s="29">
        <v>4823</v>
      </c>
      <c r="K449" s="78"/>
      <c r="L449" s="11"/>
      <c r="M449" s="168"/>
      <c r="N449" s="168"/>
    </row>
    <row r="450" spans="2:14">
      <c r="B450" s="11" t="s">
        <v>728</v>
      </c>
      <c r="C450" s="11" t="s">
        <v>56</v>
      </c>
      <c r="D450" s="78"/>
      <c r="E450" s="11" t="s">
        <v>31</v>
      </c>
      <c r="F450" s="11" t="s">
        <v>1498</v>
      </c>
      <c r="G450" s="318">
        <v>45986</v>
      </c>
      <c r="H450" s="318">
        <v>45994</v>
      </c>
      <c r="I450" s="11">
        <f t="shared" ref="I450:I464" si="32">H450-G450</f>
        <v>8</v>
      </c>
      <c r="J450" s="29">
        <v>3100</v>
      </c>
      <c r="K450" s="78"/>
      <c r="L450" s="11"/>
      <c r="M450" s="168"/>
      <c r="N450" s="168"/>
    </row>
    <row r="451" spans="2:14">
      <c r="B451" s="11" t="s">
        <v>480</v>
      </c>
      <c r="C451" s="11" t="s">
        <v>56</v>
      </c>
      <c r="D451" s="78"/>
      <c r="E451" s="11" t="s">
        <v>31</v>
      </c>
      <c r="F451" s="11" t="s">
        <v>1499</v>
      </c>
      <c r="G451" s="318">
        <v>45986</v>
      </c>
      <c r="H451" s="187">
        <v>45992</v>
      </c>
      <c r="I451" s="11">
        <f t="shared" si="32"/>
        <v>6</v>
      </c>
      <c r="J451" s="29">
        <v>5666</v>
      </c>
      <c r="K451" s="78"/>
      <c r="L451" s="11"/>
      <c r="M451" s="168"/>
      <c r="N451" s="168"/>
    </row>
    <row r="452" spans="2:14">
      <c r="B452" s="11" t="s">
        <v>298</v>
      </c>
      <c r="C452" s="11" t="s">
        <v>56</v>
      </c>
      <c r="D452" s="78"/>
      <c r="E452" s="11" t="s">
        <v>31</v>
      </c>
      <c r="F452" s="11" t="s">
        <v>1500</v>
      </c>
      <c r="G452" s="318">
        <v>45986</v>
      </c>
      <c r="H452" s="318">
        <v>45991</v>
      </c>
      <c r="I452" s="11">
        <f t="shared" si="32"/>
        <v>5</v>
      </c>
      <c r="J452" s="29">
        <v>2500</v>
      </c>
      <c r="K452" s="78"/>
      <c r="L452" s="11"/>
      <c r="M452" s="168"/>
      <c r="N452" s="168"/>
    </row>
    <row r="453" spans="2:14">
      <c r="B453" s="11" t="s">
        <v>485</v>
      </c>
      <c r="C453" s="11" t="s">
        <v>63</v>
      </c>
      <c r="D453" s="78"/>
      <c r="E453" s="11" t="s">
        <v>64</v>
      </c>
      <c r="F453" s="11" t="s">
        <v>1506</v>
      </c>
      <c r="G453" s="318">
        <v>45987</v>
      </c>
      <c r="H453" s="318">
        <v>45998</v>
      </c>
      <c r="I453" s="11">
        <f t="shared" si="32"/>
        <v>11</v>
      </c>
      <c r="J453" s="29">
        <v>7000</v>
      </c>
      <c r="K453" s="78"/>
      <c r="L453" s="11"/>
      <c r="M453" s="168"/>
      <c r="N453" s="168"/>
    </row>
    <row r="454" spans="2:14">
      <c r="B454" s="11" t="s">
        <v>736</v>
      </c>
      <c r="C454" s="11" t="s">
        <v>63</v>
      </c>
      <c r="D454" s="78"/>
      <c r="E454" s="11" t="s">
        <v>64</v>
      </c>
      <c r="F454" s="11" t="s">
        <v>1507</v>
      </c>
      <c r="G454" s="318">
        <v>45987</v>
      </c>
      <c r="H454" s="318">
        <v>45997</v>
      </c>
      <c r="I454" s="11">
        <f t="shared" si="32"/>
        <v>10</v>
      </c>
      <c r="J454" s="29">
        <v>4270</v>
      </c>
      <c r="K454" s="78"/>
      <c r="L454" s="11"/>
      <c r="M454" s="168"/>
      <c r="N454" s="168"/>
    </row>
    <row r="455" spans="2:14">
      <c r="B455" s="11" t="s">
        <v>39</v>
      </c>
      <c r="C455" s="11" t="s">
        <v>63</v>
      </c>
      <c r="D455" s="78"/>
      <c r="E455" s="11" t="s">
        <v>64</v>
      </c>
      <c r="F455" s="11" t="s">
        <v>1508</v>
      </c>
      <c r="G455" s="318">
        <v>45987</v>
      </c>
      <c r="H455" s="318">
        <v>45994</v>
      </c>
      <c r="I455" s="11">
        <f t="shared" si="32"/>
        <v>7</v>
      </c>
      <c r="J455" s="29">
        <v>15000</v>
      </c>
      <c r="K455" s="78"/>
      <c r="L455" s="11"/>
      <c r="M455" s="168"/>
      <c r="N455" s="168"/>
    </row>
    <row r="456" spans="2:14">
      <c r="B456" s="11" t="s">
        <v>850</v>
      </c>
      <c r="C456" s="11" t="s">
        <v>56</v>
      </c>
      <c r="D456" s="78"/>
      <c r="E456" s="11" t="s">
        <v>31</v>
      </c>
      <c r="F456" s="11" t="s">
        <v>1517</v>
      </c>
      <c r="G456" s="318">
        <v>45987</v>
      </c>
      <c r="H456" s="187">
        <v>45992</v>
      </c>
      <c r="I456" s="11">
        <f t="shared" si="32"/>
        <v>5</v>
      </c>
      <c r="J456" s="29">
        <v>5000</v>
      </c>
      <c r="K456" s="78"/>
      <c r="L456" s="11"/>
      <c r="M456" s="168"/>
      <c r="N456" s="168"/>
    </row>
    <row r="457" spans="2:14">
      <c r="B457" s="11" t="s">
        <v>900</v>
      </c>
      <c r="C457" s="11" t="s">
        <v>56</v>
      </c>
      <c r="D457" s="78"/>
      <c r="E457" s="11" t="s">
        <v>31</v>
      </c>
      <c r="F457" s="11" t="s">
        <v>1518</v>
      </c>
      <c r="G457" s="318">
        <v>45987</v>
      </c>
      <c r="H457" s="318">
        <v>45994</v>
      </c>
      <c r="I457" s="11">
        <f t="shared" si="32"/>
        <v>7</v>
      </c>
      <c r="J457" s="29">
        <v>11000</v>
      </c>
      <c r="K457" s="78"/>
      <c r="L457" s="11"/>
      <c r="M457" s="168"/>
      <c r="N457" s="168"/>
    </row>
    <row r="458" spans="2:14">
      <c r="B458" s="11" t="s">
        <v>179</v>
      </c>
      <c r="C458" s="11" t="s">
        <v>56</v>
      </c>
      <c r="D458" s="78"/>
      <c r="E458" s="11" t="s">
        <v>31</v>
      </c>
      <c r="F458" s="11" t="s">
        <v>1519</v>
      </c>
      <c r="G458" s="318">
        <v>45987</v>
      </c>
      <c r="H458" s="318">
        <v>45995</v>
      </c>
      <c r="I458" s="11">
        <f t="shared" si="32"/>
        <v>8</v>
      </c>
      <c r="J458" s="29">
        <v>7000</v>
      </c>
      <c r="K458" s="78"/>
      <c r="L458" s="11"/>
      <c r="M458" s="168"/>
      <c r="N458" s="168"/>
    </row>
    <row r="459" spans="2:14">
      <c r="B459" s="11" t="s">
        <v>167</v>
      </c>
      <c r="C459" s="11" t="s">
        <v>48</v>
      </c>
      <c r="D459" s="78"/>
      <c r="E459" s="11" t="s">
        <v>26</v>
      </c>
      <c r="F459" s="11" t="s">
        <v>1533</v>
      </c>
      <c r="G459" s="318">
        <v>45988</v>
      </c>
      <c r="H459" s="318">
        <v>45997</v>
      </c>
      <c r="I459" s="11">
        <f t="shared" si="32"/>
        <v>9</v>
      </c>
      <c r="J459" s="29">
        <v>19191</v>
      </c>
      <c r="K459" s="78"/>
      <c r="L459" s="11"/>
      <c r="M459" s="168"/>
      <c r="N459" s="168"/>
    </row>
    <row r="460" spans="2:14">
      <c r="B460" s="11" t="s">
        <v>1535</v>
      </c>
      <c r="C460" s="11" t="s">
        <v>48</v>
      </c>
      <c r="D460" s="78"/>
      <c r="E460" s="11" t="s">
        <v>26</v>
      </c>
      <c r="F460" s="11" t="s">
        <v>1534</v>
      </c>
      <c r="G460" s="318">
        <v>45988</v>
      </c>
      <c r="H460" s="318">
        <v>45994</v>
      </c>
      <c r="I460" s="11">
        <f t="shared" si="32"/>
        <v>6</v>
      </c>
      <c r="J460" s="29">
        <v>8903</v>
      </c>
      <c r="K460" s="78"/>
      <c r="L460" s="11"/>
      <c r="M460" s="168"/>
      <c r="N460" s="168"/>
    </row>
    <row r="461" spans="2:14">
      <c r="B461" s="11" t="s">
        <v>870</v>
      </c>
      <c r="C461" s="11" t="s">
        <v>56</v>
      </c>
      <c r="D461" s="78"/>
      <c r="E461" s="11" t="s">
        <v>31</v>
      </c>
      <c r="F461" s="21" t="s">
        <v>1536</v>
      </c>
      <c r="G461" s="318">
        <v>45988</v>
      </c>
      <c r="H461" s="318">
        <v>45995</v>
      </c>
      <c r="I461" s="11">
        <f t="shared" si="32"/>
        <v>7</v>
      </c>
      <c r="J461" s="29">
        <v>7687</v>
      </c>
      <c r="K461" s="78"/>
      <c r="L461" s="11"/>
      <c r="M461" s="168"/>
      <c r="N461" s="168"/>
    </row>
    <row r="462" spans="2:14">
      <c r="B462" s="11" t="s">
        <v>1381</v>
      </c>
      <c r="C462" s="11" t="s">
        <v>56</v>
      </c>
      <c r="D462" s="78"/>
      <c r="E462" s="11" t="s">
        <v>31</v>
      </c>
      <c r="F462" s="21" t="s">
        <v>1537</v>
      </c>
      <c r="G462" s="318">
        <v>45988</v>
      </c>
      <c r="H462" s="318">
        <v>45996</v>
      </c>
      <c r="I462" s="11">
        <f t="shared" si="32"/>
        <v>8</v>
      </c>
      <c r="J462" s="29">
        <v>5600</v>
      </c>
      <c r="K462" s="78"/>
      <c r="L462" s="11"/>
      <c r="M462" s="168"/>
      <c r="N462" s="168"/>
    </row>
    <row r="463" spans="2:14">
      <c r="B463" s="11" t="s">
        <v>1540</v>
      </c>
      <c r="C463" s="11" t="s">
        <v>31</v>
      </c>
      <c r="D463" s="78"/>
      <c r="E463" s="11" t="s">
        <v>128</v>
      </c>
      <c r="F463" s="21" t="s">
        <v>1539</v>
      </c>
      <c r="G463" s="318">
        <v>45988</v>
      </c>
      <c r="H463" s="318">
        <v>46000</v>
      </c>
      <c r="I463" s="11">
        <f t="shared" si="32"/>
        <v>12</v>
      </c>
      <c r="J463" s="29">
        <v>100000</v>
      </c>
      <c r="K463" s="78"/>
      <c r="L463" s="11"/>
      <c r="M463" s="168"/>
      <c r="N463" s="168"/>
    </row>
    <row r="464" spans="2:14">
      <c r="B464" s="11" t="s">
        <v>1541</v>
      </c>
      <c r="C464" s="11" t="s">
        <v>31</v>
      </c>
      <c r="D464" s="78"/>
      <c r="E464" s="11" t="s">
        <v>128</v>
      </c>
      <c r="F464" s="21" t="s">
        <v>1542</v>
      </c>
      <c r="G464" s="318">
        <v>45988</v>
      </c>
      <c r="H464" s="318">
        <v>46006</v>
      </c>
      <c r="I464" s="11">
        <f t="shared" si="32"/>
        <v>18</v>
      </c>
      <c r="J464" s="29">
        <v>129700</v>
      </c>
      <c r="K464" s="78"/>
      <c r="L464" s="11"/>
      <c r="M464" s="168"/>
      <c r="N464" s="168"/>
    </row>
    <row r="465" spans="2:14">
      <c r="B465" s="11" t="s">
        <v>1548</v>
      </c>
      <c r="C465" s="11" t="s">
        <v>31</v>
      </c>
      <c r="D465" s="78"/>
      <c r="E465" s="11" t="s">
        <v>128</v>
      </c>
      <c r="F465" s="21" t="s">
        <v>1545</v>
      </c>
      <c r="G465" s="318">
        <v>45988</v>
      </c>
      <c r="H465" s="318">
        <v>46004</v>
      </c>
      <c r="I465" s="11">
        <f t="shared" ref="I465:I476" si="33">H465-G465</f>
        <v>16</v>
      </c>
      <c r="J465" s="29">
        <v>15000</v>
      </c>
      <c r="K465" s="78"/>
      <c r="L465" s="11"/>
      <c r="M465" s="168"/>
      <c r="N465" s="168"/>
    </row>
    <row r="466" spans="2:14">
      <c r="B466" s="11" t="s">
        <v>1548</v>
      </c>
      <c r="C466" s="11" t="s">
        <v>31</v>
      </c>
      <c r="D466" s="78"/>
      <c r="E466" s="11" t="s">
        <v>128</v>
      </c>
      <c r="F466" s="21" t="s">
        <v>1546</v>
      </c>
      <c r="G466" s="318">
        <v>45988</v>
      </c>
      <c r="H466" s="318">
        <v>46003</v>
      </c>
      <c r="I466" s="11">
        <f t="shared" si="33"/>
        <v>15</v>
      </c>
      <c r="J466" s="29">
        <v>15651</v>
      </c>
      <c r="K466" s="78"/>
      <c r="L466" s="11"/>
      <c r="M466" s="168"/>
      <c r="N466" s="168"/>
    </row>
    <row r="467" spans="2:14">
      <c r="B467" s="11" t="s">
        <v>30</v>
      </c>
      <c r="C467" s="11" t="s">
        <v>31</v>
      </c>
      <c r="D467" s="78"/>
      <c r="E467" s="11" t="s">
        <v>128</v>
      </c>
      <c r="F467" s="21" t="s">
        <v>1547</v>
      </c>
      <c r="G467" s="318">
        <v>45988</v>
      </c>
      <c r="H467" s="318">
        <v>46003</v>
      </c>
      <c r="I467" s="11">
        <f t="shared" si="33"/>
        <v>15</v>
      </c>
      <c r="J467" s="29">
        <v>15108</v>
      </c>
      <c r="K467" s="78"/>
      <c r="L467" s="11"/>
      <c r="M467" s="168"/>
      <c r="N467" s="168"/>
    </row>
    <row r="468" spans="2:14">
      <c r="B468" s="11" t="s">
        <v>594</v>
      </c>
      <c r="C468" s="11" t="s">
        <v>432</v>
      </c>
      <c r="D468" s="78"/>
      <c r="E468" s="11" t="s">
        <v>390</v>
      </c>
      <c r="F468" s="11" t="s">
        <v>1549</v>
      </c>
      <c r="G468" s="318">
        <v>45988</v>
      </c>
      <c r="H468" s="318">
        <v>45997</v>
      </c>
      <c r="I468" s="11">
        <f t="shared" si="33"/>
        <v>9</v>
      </c>
      <c r="J468" s="29">
        <v>5500</v>
      </c>
      <c r="K468" s="78"/>
      <c r="L468" s="11"/>
      <c r="M468" s="168"/>
      <c r="N468" s="168"/>
    </row>
    <row r="469" spans="2:14">
      <c r="B469" s="11" t="s">
        <v>891</v>
      </c>
      <c r="C469" s="11" t="s">
        <v>63</v>
      </c>
      <c r="D469" s="78"/>
      <c r="E469" s="11" t="s">
        <v>64</v>
      </c>
      <c r="F469" t="s">
        <v>1552</v>
      </c>
      <c r="G469" s="318">
        <v>45989</v>
      </c>
      <c r="H469" s="318">
        <v>46001</v>
      </c>
      <c r="I469" s="11">
        <f t="shared" si="33"/>
        <v>12</v>
      </c>
      <c r="J469" s="29">
        <v>15000</v>
      </c>
      <c r="K469" s="78"/>
      <c r="L469" s="11"/>
      <c r="M469" s="168"/>
      <c r="N469" s="168"/>
    </row>
    <row r="470" spans="2:14">
      <c r="B470" s="11" t="s">
        <v>1554</v>
      </c>
      <c r="C470" s="11" t="s">
        <v>63</v>
      </c>
      <c r="D470" s="78"/>
      <c r="E470" s="11" t="s">
        <v>64</v>
      </c>
      <c r="F470" t="s">
        <v>1553</v>
      </c>
      <c r="G470" s="318">
        <v>45989</v>
      </c>
      <c r="H470" s="318">
        <v>45997</v>
      </c>
      <c r="I470" s="11">
        <f t="shared" si="33"/>
        <v>8</v>
      </c>
      <c r="J470" s="29">
        <v>12740</v>
      </c>
      <c r="K470" s="78"/>
      <c r="L470" s="11"/>
      <c r="M470" s="168"/>
      <c r="N470" s="168"/>
    </row>
    <row r="471" spans="2:14">
      <c r="B471" s="11" t="s">
        <v>1555</v>
      </c>
      <c r="C471" s="11" t="s">
        <v>31</v>
      </c>
      <c r="D471" s="78"/>
      <c r="E471" s="11" t="s">
        <v>128</v>
      </c>
      <c r="F471" s="11" t="s">
        <v>1556</v>
      </c>
      <c r="G471" s="318">
        <v>45989</v>
      </c>
      <c r="H471" s="318">
        <v>45997</v>
      </c>
      <c r="I471" s="11">
        <f t="shared" si="33"/>
        <v>8</v>
      </c>
      <c r="J471" s="29">
        <v>88000</v>
      </c>
      <c r="K471" s="78"/>
      <c r="L471" s="11"/>
      <c r="M471" s="168"/>
      <c r="N471" s="168"/>
    </row>
    <row r="472" spans="2:14">
      <c r="B472" s="11" t="s">
        <v>771</v>
      </c>
      <c r="C472" s="11" t="s">
        <v>31</v>
      </c>
      <c r="D472" s="78"/>
      <c r="E472" s="11" t="s">
        <v>128</v>
      </c>
      <c r="F472" s="11" t="s">
        <v>1557</v>
      </c>
      <c r="G472" s="318">
        <v>45989</v>
      </c>
      <c r="H472" s="318">
        <v>46004</v>
      </c>
      <c r="I472" s="11">
        <f t="shared" si="33"/>
        <v>15</v>
      </c>
      <c r="J472" s="29">
        <v>19650</v>
      </c>
      <c r="K472" s="78"/>
      <c r="L472" s="11"/>
      <c r="M472" s="168"/>
      <c r="N472" s="168"/>
    </row>
    <row r="473" spans="2:14">
      <c r="B473" s="11" t="s">
        <v>233</v>
      </c>
      <c r="C473" s="11" t="s">
        <v>31</v>
      </c>
      <c r="D473" s="78"/>
      <c r="E473" s="11" t="s">
        <v>128</v>
      </c>
      <c r="F473" s="11" t="s">
        <v>1558</v>
      </c>
      <c r="G473" s="318">
        <v>45989</v>
      </c>
      <c r="H473" s="318">
        <v>45993</v>
      </c>
      <c r="I473" s="11">
        <f t="shared" si="33"/>
        <v>4</v>
      </c>
      <c r="J473" s="29">
        <v>36600</v>
      </c>
      <c r="K473" s="78"/>
      <c r="L473" s="11"/>
      <c r="M473" s="168"/>
      <c r="N473" s="168"/>
    </row>
    <row r="474" spans="2:14">
      <c r="B474" s="11" t="s">
        <v>480</v>
      </c>
      <c r="C474" s="11" t="s">
        <v>48</v>
      </c>
      <c r="D474" s="78"/>
      <c r="E474" s="11" t="s">
        <v>26</v>
      </c>
      <c r="F474" t="s">
        <v>1559</v>
      </c>
      <c r="G474" s="318">
        <v>45989</v>
      </c>
      <c r="H474" s="318">
        <v>45995</v>
      </c>
      <c r="I474" s="11">
        <f t="shared" si="33"/>
        <v>6</v>
      </c>
      <c r="J474" s="80">
        <v>4851</v>
      </c>
      <c r="K474" s="78"/>
      <c r="L474" s="11"/>
      <c r="M474" s="168"/>
      <c r="N474" s="168"/>
    </row>
    <row r="475" spans="2:14">
      <c r="B475" s="11" t="s">
        <v>1562</v>
      </c>
      <c r="C475" s="11" t="s">
        <v>48</v>
      </c>
      <c r="D475" s="78"/>
      <c r="E475" s="11" t="s">
        <v>26</v>
      </c>
      <c r="F475" t="s">
        <v>1560</v>
      </c>
      <c r="G475" s="318">
        <v>45989</v>
      </c>
      <c r="H475" s="318">
        <v>45997</v>
      </c>
      <c r="I475" s="11">
        <f t="shared" si="33"/>
        <v>8</v>
      </c>
      <c r="J475" s="80">
        <v>7100</v>
      </c>
      <c r="K475" s="78"/>
      <c r="L475" s="11"/>
      <c r="M475" s="168"/>
      <c r="N475" s="168"/>
    </row>
    <row r="476" spans="2:14">
      <c r="B476" s="11" t="s">
        <v>298</v>
      </c>
      <c r="C476" s="11" t="s">
        <v>48</v>
      </c>
      <c r="D476" s="78"/>
      <c r="E476" s="11" t="s">
        <v>26</v>
      </c>
      <c r="F476" t="s">
        <v>1561</v>
      </c>
      <c r="G476" s="318">
        <v>45989</v>
      </c>
      <c r="H476" s="318">
        <v>45994</v>
      </c>
      <c r="I476" s="11">
        <f t="shared" si="33"/>
        <v>5</v>
      </c>
      <c r="J476" s="80">
        <v>2000</v>
      </c>
      <c r="K476" s="78"/>
      <c r="L476" s="11"/>
      <c r="M476" s="168"/>
      <c r="N476" s="168"/>
    </row>
    <row r="477" spans="2:14">
      <c r="B477" s="11"/>
      <c r="C477" s="11"/>
      <c r="D477" s="78"/>
      <c r="E477" s="11"/>
      <c r="G477" s="11"/>
      <c r="H477" s="39"/>
      <c r="I477" s="11">
        <f t="shared" ref="I477:I494" si="34">H477-G477</f>
        <v>0</v>
      </c>
      <c r="J477" s="29"/>
      <c r="K477" s="78"/>
      <c r="L477" s="11"/>
      <c r="M477" s="168"/>
      <c r="N477" s="168"/>
    </row>
    <row r="478" spans="2:14">
      <c r="B478" s="11"/>
      <c r="C478" s="11"/>
      <c r="D478" s="78"/>
      <c r="E478" s="11"/>
      <c r="G478" s="11"/>
      <c r="H478" s="39"/>
      <c r="I478" s="11">
        <f t="shared" si="34"/>
        <v>0</v>
      </c>
      <c r="J478" s="29"/>
      <c r="K478" s="78"/>
      <c r="L478" s="11"/>
      <c r="M478" s="168"/>
      <c r="N478" s="168"/>
    </row>
    <row r="479" spans="2:14">
      <c r="B479" s="11"/>
      <c r="C479" s="11"/>
      <c r="D479" s="78"/>
      <c r="E479" s="11"/>
      <c r="G479" s="11"/>
      <c r="H479" s="39"/>
      <c r="I479" s="11">
        <f t="shared" si="34"/>
        <v>0</v>
      </c>
      <c r="J479" s="29"/>
      <c r="K479" s="78"/>
      <c r="L479" s="11"/>
      <c r="M479" s="168"/>
      <c r="N479" s="168"/>
    </row>
    <row r="480" spans="2:14">
      <c r="B480" s="11"/>
      <c r="C480" s="11"/>
      <c r="D480" s="78"/>
      <c r="E480" s="11"/>
      <c r="G480" s="11"/>
      <c r="H480" s="39"/>
      <c r="I480" s="11">
        <f t="shared" si="34"/>
        <v>0</v>
      </c>
      <c r="J480" s="29"/>
      <c r="K480" s="78"/>
      <c r="L480" s="11"/>
      <c r="M480" s="168"/>
      <c r="N480" s="168"/>
    </row>
    <row r="481" spans="2:14">
      <c r="B481" s="11"/>
      <c r="C481" s="11"/>
      <c r="D481" s="78"/>
      <c r="E481" s="11"/>
      <c r="G481" s="11"/>
      <c r="H481" s="39"/>
      <c r="I481" s="11">
        <f t="shared" si="34"/>
        <v>0</v>
      </c>
      <c r="J481" s="29"/>
      <c r="K481" s="78"/>
      <c r="L481" s="11"/>
      <c r="M481" s="168"/>
      <c r="N481" s="168"/>
    </row>
    <row r="482" spans="2:14">
      <c r="B482" s="11"/>
      <c r="C482" s="11"/>
      <c r="D482" s="78"/>
      <c r="E482" s="11"/>
      <c r="G482" s="11"/>
      <c r="H482" s="39"/>
      <c r="I482" s="11">
        <f t="shared" si="34"/>
        <v>0</v>
      </c>
      <c r="J482" s="29"/>
      <c r="K482" s="78"/>
      <c r="L482" s="11"/>
      <c r="M482" s="168"/>
      <c r="N482" s="168"/>
    </row>
    <row r="483" spans="2:14">
      <c r="B483" s="11"/>
      <c r="C483" s="11"/>
      <c r="D483" s="78"/>
      <c r="E483" s="11"/>
      <c r="G483" s="11"/>
      <c r="H483" s="39"/>
      <c r="I483" s="11">
        <f t="shared" si="34"/>
        <v>0</v>
      </c>
      <c r="J483" s="29"/>
      <c r="K483" s="78"/>
      <c r="L483" s="11"/>
      <c r="M483" s="168"/>
      <c r="N483" s="168"/>
    </row>
    <row r="484" spans="2:14">
      <c r="B484" s="11"/>
      <c r="C484" s="11"/>
      <c r="D484" s="78"/>
      <c r="E484" s="11"/>
      <c r="G484" s="11"/>
      <c r="H484" s="39"/>
      <c r="I484" s="11">
        <f t="shared" si="34"/>
        <v>0</v>
      </c>
      <c r="J484" s="29"/>
      <c r="K484" s="78"/>
      <c r="L484" s="11"/>
      <c r="M484" s="168"/>
      <c r="N484" s="168"/>
    </row>
    <row r="485" spans="2:14">
      <c r="B485" s="11"/>
      <c r="C485" s="11"/>
      <c r="D485" s="78"/>
      <c r="E485" s="11"/>
      <c r="G485" s="11"/>
      <c r="H485" s="39"/>
      <c r="I485" s="11">
        <f t="shared" si="34"/>
        <v>0</v>
      </c>
      <c r="J485" s="29"/>
      <c r="K485" s="78"/>
      <c r="L485" s="11"/>
      <c r="M485" s="168"/>
      <c r="N485" s="168"/>
    </row>
    <row r="486" spans="2:14">
      <c r="B486" s="11"/>
      <c r="C486" s="11"/>
      <c r="D486" s="78"/>
      <c r="E486" s="11"/>
      <c r="G486" s="11"/>
      <c r="H486" s="39"/>
      <c r="I486" s="11">
        <f t="shared" si="34"/>
        <v>0</v>
      </c>
      <c r="J486" s="29"/>
      <c r="K486" s="78"/>
      <c r="L486" s="11"/>
      <c r="M486" s="168"/>
      <c r="N486" s="168"/>
    </row>
    <row r="487" spans="2:14">
      <c r="B487" s="11"/>
      <c r="C487" s="11"/>
      <c r="D487" s="78"/>
      <c r="E487" s="11"/>
      <c r="G487" s="11"/>
      <c r="H487" s="39"/>
      <c r="I487" s="11">
        <f t="shared" si="34"/>
        <v>0</v>
      </c>
      <c r="J487" s="29"/>
      <c r="K487" s="78"/>
      <c r="L487" s="11"/>
      <c r="M487" s="168"/>
      <c r="N487" s="168"/>
    </row>
    <row r="488" spans="2:14">
      <c r="B488" s="11"/>
      <c r="C488" s="11"/>
      <c r="D488" s="78"/>
      <c r="E488" s="11"/>
      <c r="G488" s="11"/>
      <c r="H488" s="39"/>
      <c r="I488" s="11">
        <f t="shared" si="34"/>
        <v>0</v>
      </c>
      <c r="J488" s="29"/>
      <c r="K488" s="78"/>
      <c r="L488" s="11"/>
      <c r="M488" s="168"/>
      <c r="N488" s="168"/>
    </row>
    <row r="489" spans="2:14">
      <c r="B489" s="11"/>
      <c r="C489" s="11"/>
      <c r="D489" s="78"/>
      <c r="E489" s="11"/>
      <c r="G489" s="11"/>
      <c r="H489" s="39"/>
      <c r="I489" s="11">
        <f t="shared" si="34"/>
        <v>0</v>
      </c>
      <c r="J489" s="29"/>
      <c r="K489" s="78"/>
      <c r="L489" s="11"/>
      <c r="M489" s="168"/>
      <c r="N489" s="168"/>
    </row>
    <row r="490" spans="2:14">
      <c r="B490" s="11"/>
      <c r="C490" s="11"/>
      <c r="D490" s="78"/>
      <c r="E490" s="11"/>
      <c r="G490" s="11"/>
      <c r="H490" s="39"/>
      <c r="I490" s="11">
        <f t="shared" si="34"/>
        <v>0</v>
      </c>
      <c r="J490" s="29"/>
      <c r="K490" s="78"/>
      <c r="L490" s="11"/>
      <c r="M490" s="168"/>
      <c r="N490" s="168"/>
    </row>
    <row r="491" spans="2:14">
      <c r="B491" s="11"/>
      <c r="C491" s="11"/>
      <c r="D491" s="78"/>
      <c r="E491" s="11"/>
      <c r="G491" s="11"/>
      <c r="H491" s="39"/>
      <c r="I491" s="11">
        <f t="shared" si="34"/>
        <v>0</v>
      </c>
      <c r="J491" s="29"/>
      <c r="K491" s="78"/>
      <c r="L491" s="11"/>
      <c r="M491" s="168"/>
      <c r="N491" s="168"/>
    </row>
    <row r="492" spans="2:14">
      <c r="B492" s="11"/>
      <c r="C492" s="11"/>
      <c r="D492" s="78"/>
      <c r="E492" s="11"/>
      <c r="G492" s="11"/>
      <c r="H492" s="39"/>
      <c r="I492" s="11">
        <f t="shared" si="34"/>
        <v>0</v>
      </c>
      <c r="J492" s="29"/>
      <c r="K492" s="78"/>
      <c r="L492" s="11"/>
      <c r="M492" s="168"/>
      <c r="N492" s="168"/>
    </row>
    <row r="493" spans="2:14">
      <c r="B493" s="11"/>
      <c r="C493" s="11"/>
      <c r="D493" s="78"/>
      <c r="E493" s="11"/>
      <c r="G493" s="11"/>
      <c r="H493" s="39"/>
      <c r="I493" s="11">
        <f t="shared" si="34"/>
        <v>0</v>
      </c>
      <c r="J493" s="29"/>
      <c r="K493" s="78"/>
      <c r="L493" s="11"/>
      <c r="M493" s="168"/>
      <c r="N493" s="168"/>
    </row>
    <row r="494" spans="2:14">
      <c r="B494" s="11"/>
      <c r="C494" s="11"/>
      <c r="D494" s="78"/>
      <c r="E494" s="11"/>
      <c r="G494" s="11"/>
      <c r="H494" s="39"/>
      <c r="I494" s="11">
        <f t="shared" si="34"/>
        <v>0</v>
      </c>
      <c r="J494" s="29"/>
      <c r="K494" s="78"/>
      <c r="L494" s="11"/>
      <c r="M494" s="168"/>
      <c r="N494" s="168"/>
    </row>
    <row r="495" spans="2:14">
      <c r="B495" s="11"/>
      <c r="C495" s="11"/>
      <c r="D495" s="78"/>
      <c r="E495" s="11"/>
      <c r="G495" s="11"/>
      <c r="H495" s="39"/>
      <c r="I495" s="11">
        <f t="shared" ref="I495:I503" si="35">H495-G495</f>
        <v>0</v>
      </c>
      <c r="J495" s="29"/>
      <c r="K495" s="78"/>
      <c r="L495" s="11"/>
      <c r="M495" s="168"/>
      <c r="N495" s="168"/>
    </row>
    <row r="496" spans="2:14">
      <c r="B496" s="11"/>
      <c r="C496" s="11"/>
      <c r="D496" s="78"/>
      <c r="E496" s="11"/>
      <c r="G496" s="11"/>
      <c r="H496" s="39"/>
      <c r="I496" s="11">
        <f t="shared" si="35"/>
        <v>0</v>
      </c>
      <c r="J496" s="29"/>
      <c r="K496" s="78"/>
      <c r="L496" s="11"/>
      <c r="M496" s="168"/>
      <c r="N496" s="168"/>
    </row>
    <row r="497" spans="2:14">
      <c r="B497" s="11"/>
      <c r="C497" s="11"/>
      <c r="D497" s="78"/>
      <c r="E497" s="11"/>
      <c r="G497" s="11"/>
      <c r="H497" s="39"/>
      <c r="I497" s="11">
        <f t="shared" si="35"/>
        <v>0</v>
      </c>
      <c r="J497" s="29"/>
      <c r="K497" s="78"/>
      <c r="L497" s="11"/>
      <c r="M497" s="168"/>
      <c r="N497" s="168"/>
    </row>
    <row r="498" spans="2:14">
      <c r="B498" s="11"/>
      <c r="C498" s="11"/>
      <c r="D498" s="78"/>
      <c r="E498" s="11"/>
      <c r="G498" s="11"/>
      <c r="H498" s="39"/>
      <c r="I498" s="11">
        <f t="shared" si="35"/>
        <v>0</v>
      </c>
      <c r="J498" s="29"/>
      <c r="K498" s="78"/>
      <c r="L498" s="11"/>
      <c r="M498" s="168"/>
      <c r="N498" s="168"/>
    </row>
    <row r="499" spans="2:14">
      <c r="B499" s="11"/>
      <c r="C499" s="11"/>
      <c r="D499" s="78"/>
      <c r="E499" s="11"/>
      <c r="G499" s="11"/>
      <c r="H499" s="39"/>
      <c r="I499" s="11">
        <f t="shared" si="35"/>
        <v>0</v>
      </c>
      <c r="J499" s="29"/>
      <c r="K499" s="78"/>
      <c r="L499" s="11"/>
      <c r="M499" s="168"/>
      <c r="N499" s="168"/>
    </row>
    <row r="500" spans="2:14">
      <c r="B500" s="11"/>
      <c r="C500" s="11"/>
      <c r="D500" s="78"/>
      <c r="E500" s="11"/>
      <c r="G500" s="11"/>
      <c r="H500" s="39"/>
      <c r="I500" s="11">
        <f t="shared" si="35"/>
        <v>0</v>
      </c>
      <c r="J500" s="29"/>
      <c r="K500" s="78"/>
      <c r="L500" s="11"/>
      <c r="M500" s="168"/>
      <c r="N500" s="168"/>
    </row>
    <row r="501" spans="2:14">
      <c r="B501" s="11"/>
      <c r="C501" s="11"/>
      <c r="D501" s="78"/>
      <c r="E501" s="11"/>
      <c r="G501" s="11"/>
      <c r="H501" s="39"/>
      <c r="I501" s="11">
        <f t="shared" si="35"/>
        <v>0</v>
      </c>
      <c r="J501" s="29"/>
      <c r="K501" s="78"/>
      <c r="L501" s="11"/>
      <c r="M501" s="168"/>
      <c r="N501" s="168"/>
    </row>
    <row r="502" spans="2:14">
      <c r="B502" s="11"/>
      <c r="C502" s="11"/>
      <c r="D502" s="78"/>
      <c r="E502" s="11"/>
      <c r="G502" s="11"/>
      <c r="H502" s="39"/>
      <c r="I502" s="11">
        <f t="shared" si="35"/>
        <v>0</v>
      </c>
      <c r="J502" s="29"/>
      <c r="K502" s="78"/>
      <c r="L502" s="11"/>
      <c r="M502" s="168"/>
      <c r="N502" s="168"/>
    </row>
    <row r="503" spans="2:14">
      <c r="B503" s="11"/>
      <c r="C503" s="11"/>
      <c r="D503" s="78"/>
      <c r="E503" s="11"/>
      <c r="G503" s="11"/>
      <c r="H503" s="39"/>
      <c r="I503" s="11">
        <f t="shared" si="35"/>
        <v>0</v>
      </c>
      <c r="J503" s="29"/>
      <c r="K503" s="78"/>
      <c r="L503" s="11"/>
      <c r="M503" s="168"/>
      <c r="N503" s="168"/>
    </row>
    <row r="504" spans="2:14">
      <c r="B504" s="168"/>
      <c r="C504" s="168"/>
      <c r="D504" s="397"/>
      <c r="E504" s="168"/>
      <c r="F504" s="168"/>
      <c r="G504" s="168"/>
      <c r="H504" s="216"/>
      <c r="I504" s="168"/>
      <c r="J504" s="168"/>
      <c r="K504" s="397"/>
      <c r="L504" s="168"/>
      <c r="M504" s="168"/>
      <c r="N504" s="168"/>
    </row>
    <row r="505" spans="2:14">
      <c r="B505" s="168"/>
      <c r="C505" s="168"/>
      <c r="D505" s="397"/>
      <c r="E505" s="168"/>
      <c r="F505" s="168"/>
      <c r="G505" s="168"/>
      <c r="H505" s="216"/>
      <c r="I505" s="168"/>
      <c r="J505" s="168"/>
      <c r="K505" s="397"/>
      <c r="L505" s="168"/>
      <c r="M505" s="168"/>
      <c r="N505" s="168"/>
    </row>
    <row r="506" spans="2:14">
      <c r="B506" s="168"/>
      <c r="C506" s="168"/>
      <c r="D506" s="397"/>
      <c r="E506" s="168"/>
      <c r="F506" s="168"/>
      <c r="G506" s="168"/>
      <c r="H506" s="216"/>
      <c r="I506" s="168"/>
      <c r="J506" s="168"/>
      <c r="K506" s="397"/>
      <c r="L506" s="168"/>
      <c r="M506" s="168"/>
      <c r="N506" s="168"/>
    </row>
    <row r="507" spans="2:14">
      <c r="B507" s="168"/>
      <c r="C507" s="168"/>
      <c r="D507" s="397"/>
      <c r="E507" s="168"/>
      <c r="F507" s="168"/>
      <c r="G507" s="168"/>
      <c r="H507" s="216"/>
      <c r="I507" s="168"/>
      <c r="J507" s="168"/>
      <c r="K507" s="397"/>
      <c r="L507" s="168"/>
      <c r="M507" s="168"/>
      <c r="N507" s="168"/>
    </row>
    <row r="508" spans="2:14">
      <c r="B508" s="168"/>
      <c r="C508" s="168"/>
      <c r="D508" s="397"/>
      <c r="E508" s="168"/>
      <c r="F508" s="168"/>
      <c r="G508" s="168"/>
      <c r="H508" s="216"/>
      <c r="I508" s="168"/>
      <c r="J508" s="168"/>
      <c r="K508" s="397"/>
      <c r="L508" s="168"/>
      <c r="M508" s="168"/>
      <c r="N508" s="168"/>
    </row>
    <row r="509" spans="2:14">
      <c r="B509" s="168"/>
      <c r="C509" s="168"/>
      <c r="D509" s="397"/>
      <c r="E509" s="168"/>
      <c r="F509" s="168"/>
      <c r="G509" s="168"/>
      <c r="H509" s="216"/>
      <c r="I509" s="168"/>
      <c r="J509" s="168"/>
      <c r="K509" s="397"/>
      <c r="L509" s="168"/>
      <c r="M509" s="168"/>
      <c r="N509" s="168"/>
    </row>
    <row r="510" spans="2:14">
      <c r="B510" s="168"/>
      <c r="C510" s="168"/>
      <c r="D510" s="397"/>
      <c r="E510" s="168"/>
      <c r="F510" s="168"/>
      <c r="G510" s="168"/>
      <c r="H510" s="216"/>
      <c r="I510" s="168"/>
      <c r="J510" s="168"/>
      <c r="K510" s="397"/>
      <c r="L510" s="168"/>
      <c r="M510" s="168"/>
      <c r="N510" s="168"/>
    </row>
    <row r="511" spans="2:14">
      <c r="B511" s="168"/>
      <c r="C511" s="168"/>
      <c r="D511" s="397"/>
      <c r="E511" s="168"/>
      <c r="F511" s="168"/>
      <c r="G511" s="168"/>
      <c r="H511" s="216"/>
      <c r="I511" s="168"/>
      <c r="J511" s="168"/>
      <c r="K511" s="397"/>
      <c r="L511" s="168"/>
      <c r="M511" s="168"/>
      <c r="N511" s="168"/>
    </row>
    <row r="512" spans="2:14">
      <c r="B512" s="168"/>
      <c r="C512" s="168"/>
      <c r="D512" s="397"/>
      <c r="E512" s="168"/>
      <c r="F512" s="168"/>
      <c r="G512" s="168"/>
      <c r="H512" s="216"/>
      <c r="I512" s="168"/>
      <c r="J512" s="168"/>
      <c r="K512" s="397"/>
      <c r="L512" s="168"/>
      <c r="M512" s="168"/>
      <c r="N512" s="168"/>
    </row>
    <row r="513" spans="2:14">
      <c r="B513" s="168"/>
      <c r="C513" s="168"/>
      <c r="D513" s="397"/>
      <c r="E513" s="168"/>
      <c r="F513" s="168"/>
      <c r="G513" s="168"/>
      <c r="H513" s="216"/>
      <c r="I513" s="168"/>
      <c r="J513" s="168"/>
      <c r="K513" s="397"/>
      <c r="L513" s="168"/>
      <c r="M513" s="168"/>
      <c r="N513" s="168"/>
    </row>
    <row r="514" spans="2:14">
      <c r="B514" s="168"/>
      <c r="C514" s="168"/>
      <c r="D514" s="397"/>
      <c r="E514" s="168"/>
      <c r="F514" s="168"/>
      <c r="G514" s="168"/>
      <c r="H514" s="216"/>
      <c r="I514" s="168"/>
      <c r="J514" s="168"/>
      <c r="K514" s="397"/>
      <c r="L514" s="168"/>
      <c r="M514" s="168"/>
      <c r="N514" s="168"/>
    </row>
    <row r="515" spans="2:14">
      <c r="B515" s="168"/>
      <c r="C515" s="168"/>
      <c r="D515" s="397"/>
      <c r="E515" s="168"/>
      <c r="F515" s="168"/>
      <c r="G515" s="168"/>
      <c r="H515" s="216"/>
      <c r="I515" s="168"/>
      <c r="J515" s="168"/>
      <c r="K515" s="397"/>
      <c r="L515" s="168"/>
      <c r="M515" s="168"/>
      <c r="N515" s="168"/>
    </row>
    <row r="516" spans="2:14">
      <c r="B516" s="168"/>
      <c r="C516" s="168"/>
      <c r="D516" s="397"/>
      <c r="E516" s="168"/>
      <c r="F516" s="168"/>
      <c r="G516" s="168"/>
      <c r="H516" s="216"/>
      <c r="I516" s="168"/>
      <c r="J516" s="168"/>
      <c r="K516" s="397"/>
      <c r="L516" s="168"/>
      <c r="M516" s="168"/>
      <c r="N516" s="168"/>
    </row>
    <row r="517" spans="2:14">
      <c r="B517" s="168"/>
      <c r="C517" s="168"/>
      <c r="D517" s="397"/>
      <c r="E517" s="168"/>
      <c r="F517" s="168"/>
      <c r="G517" s="168"/>
      <c r="H517" s="216"/>
      <c r="I517" s="168"/>
      <c r="J517" s="168"/>
      <c r="K517" s="397"/>
      <c r="L517" s="168"/>
      <c r="M517" s="168"/>
      <c r="N517" s="168"/>
    </row>
    <row r="518" spans="2:14">
      <c r="B518" s="168"/>
      <c r="C518" s="168"/>
      <c r="D518" s="397"/>
      <c r="E518" s="168"/>
      <c r="F518" s="168"/>
      <c r="G518" s="168"/>
      <c r="H518" s="216"/>
      <c r="I518" s="168"/>
      <c r="J518" s="168"/>
      <c r="K518" s="397"/>
      <c r="L518" s="168"/>
      <c r="M518" s="168"/>
      <c r="N518" s="168"/>
    </row>
    <row r="519" spans="2:14">
      <c r="B519" s="168"/>
      <c r="C519" s="168"/>
      <c r="D519" s="397"/>
      <c r="E519" s="168"/>
      <c r="F519" s="168"/>
      <c r="G519" s="168"/>
      <c r="H519" s="216"/>
      <c r="I519" s="168"/>
      <c r="J519" s="168"/>
      <c r="K519" s="397"/>
      <c r="L519" s="168"/>
      <c r="M519" s="168"/>
      <c r="N519" s="168"/>
    </row>
    <row r="520" spans="2:14">
      <c r="B520" s="168"/>
      <c r="C520" s="168"/>
      <c r="D520" s="397"/>
      <c r="E520" s="168"/>
      <c r="F520" s="168"/>
      <c r="G520" s="168"/>
      <c r="H520" s="216"/>
      <c r="I520" s="168"/>
      <c r="J520" s="168"/>
      <c r="K520" s="397"/>
      <c r="L520" s="168"/>
      <c r="M520" s="168"/>
      <c r="N520" s="168"/>
    </row>
    <row r="521" spans="2:14">
      <c r="B521" s="168"/>
      <c r="C521" s="168"/>
      <c r="D521" s="397"/>
      <c r="E521" s="168"/>
      <c r="F521" s="168"/>
      <c r="G521" s="168"/>
      <c r="H521" s="216"/>
      <c r="I521" s="168"/>
      <c r="J521" s="168"/>
      <c r="K521" s="397"/>
      <c r="L521" s="168"/>
      <c r="M521" s="168"/>
      <c r="N521" s="168"/>
    </row>
    <row r="522" spans="2:14">
      <c r="B522" s="168"/>
      <c r="C522" s="168"/>
      <c r="D522" s="397"/>
      <c r="E522" s="168"/>
      <c r="F522" s="168"/>
      <c r="G522" s="168"/>
      <c r="H522" s="216"/>
      <c r="I522" s="168"/>
      <c r="J522" s="168"/>
      <c r="K522" s="397"/>
      <c r="L522" s="168"/>
      <c r="M522" s="168"/>
      <c r="N522" s="168"/>
    </row>
    <row r="523" spans="2:14">
      <c r="B523" s="168"/>
      <c r="C523" s="168"/>
      <c r="D523" s="397"/>
      <c r="E523" s="168"/>
      <c r="F523" s="168"/>
      <c r="G523" s="168"/>
      <c r="H523" s="216"/>
      <c r="I523" s="168"/>
      <c r="J523" s="168"/>
      <c r="K523" s="397"/>
      <c r="L523" s="168"/>
      <c r="M523" s="168"/>
      <c r="N523" s="168"/>
    </row>
    <row r="524" spans="2:14">
      <c r="B524" s="168"/>
      <c r="C524" s="168"/>
      <c r="D524" s="397"/>
      <c r="E524" s="168"/>
      <c r="F524" s="168"/>
      <c r="G524" s="168"/>
      <c r="H524" s="216"/>
      <c r="I524" s="168"/>
      <c r="J524" s="168"/>
      <c r="K524" s="397"/>
      <c r="L524" s="168"/>
      <c r="M524" s="168"/>
      <c r="N524" s="168"/>
    </row>
    <row r="525" spans="2:14">
      <c r="B525" s="168"/>
      <c r="C525" s="168"/>
      <c r="D525" s="397"/>
      <c r="E525" s="168"/>
      <c r="F525" s="168"/>
      <c r="G525" s="168"/>
      <c r="H525" s="216"/>
      <c r="I525" s="168"/>
      <c r="J525" s="168"/>
      <c r="K525" s="397"/>
      <c r="L525" s="168"/>
      <c r="M525" s="168"/>
      <c r="N525" s="168"/>
    </row>
    <row r="526" spans="2:14">
      <c r="B526" s="168"/>
      <c r="C526" s="168"/>
      <c r="D526" s="397"/>
      <c r="E526" s="168"/>
      <c r="F526" s="168"/>
      <c r="G526" s="168"/>
      <c r="H526" s="216"/>
      <c r="I526" s="168"/>
      <c r="J526" s="168"/>
      <c r="K526" s="397"/>
      <c r="L526" s="168"/>
      <c r="M526" s="168"/>
      <c r="N526" s="168"/>
    </row>
    <row r="527" spans="2:14">
      <c r="B527" s="168"/>
      <c r="C527" s="168"/>
      <c r="D527" s="397"/>
      <c r="E527" s="168"/>
      <c r="F527" s="168"/>
      <c r="G527" s="168"/>
      <c r="H527" s="216"/>
      <c r="I527" s="168"/>
      <c r="J527" s="168"/>
      <c r="K527" s="397"/>
      <c r="L527" s="168"/>
      <c r="M527" s="168"/>
      <c r="N527" s="168"/>
    </row>
    <row r="528" spans="2:14">
      <c r="B528" s="168"/>
      <c r="C528" s="168"/>
      <c r="D528" s="397"/>
      <c r="E528" s="168"/>
      <c r="F528" s="168"/>
      <c r="G528" s="168"/>
      <c r="H528" s="216"/>
      <c r="I528" s="168"/>
      <c r="J528" s="168"/>
      <c r="K528" s="397"/>
      <c r="L528" s="168"/>
      <c r="M528" s="168"/>
      <c r="N528" s="168"/>
    </row>
    <row r="529" spans="2:14">
      <c r="B529" s="168"/>
      <c r="C529" s="168"/>
      <c r="D529" s="397"/>
      <c r="E529" s="168"/>
      <c r="F529" s="168"/>
      <c r="G529" s="168"/>
      <c r="H529" s="216"/>
      <c r="I529" s="168"/>
      <c r="J529" s="168"/>
      <c r="K529" s="397"/>
      <c r="L529" s="168"/>
      <c r="M529" s="168"/>
      <c r="N529" s="168"/>
    </row>
    <row r="530" spans="2:14">
      <c r="B530" s="168"/>
      <c r="C530" s="168"/>
      <c r="D530" s="397"/>
      <c r="E530" s="168"/>
      <c r="F530" s="168"/>
      <c r="G530" s="168"/>
      <c r="H530" s="216"/>
      <c r="I530" s="168"/>
      <c r="J530" s="168"/>
      <c r="K530" s="397"/>
      <c r="L530" s="168"/>
      <c r="M530" s="168"/>
      <c r="N530" s="168"/>
    </row>
    <row r="531" spans="2:14">
      <c r="B531" s="168"/>
      <c r="C531" s="168"/>
      <c r="D531" s="397"/>
      <c r="E531" s="168"/>
      <c r="F531" s="168"/>
      <c r="G531" s="168"/>
      <c r="H531" s="216"/>
      <c r="I531" s="168"/>
      <c r="J531" s="168"/>
      <c r="K531" s="397"/>
      <c r="L531" s="168"/>
      <c r="M531" s="168"/>
      <c r="N531" s="168"/>
    </row>
    <row r="532" spans="2:14">
      <c r="B532" s="168"/>
      <c r="C532" s="168"/>
      <c r="D532" s="397"/>
      <c r="E532" s="168"/>
      <c r="F532" s="168"/>
      <c r="G532" s="168"/>
      <c r="H532" s="216"/>
      <c r="I532" s="168"/>
      <c r="J532" s="168"/>
      <c r="K532" s="397"/>
      <c r="L532" s="168"/>
      <c r="M532" s="168"/>
      <c r="N532" s="168"/>
    </row>
    <row r="533" spans="2:14">
      <c r="B533" s="168"/>
      <c r="C533" s="168"/>
      <c r="D533" s="397"/>
      <c r="E533" s="168"/>
      <c r="F533" s="168"/>
      <c r="G533" s="168"/>
      <c r="H533" s="216"/>
      <c r="I533" s="168"/>
      <c r="J533" s="168"/>
      <c r="K533" s="397"/>
      <c r="L533" s="168"/>
      <c r="M533" s="168"/>
      <c r="N533" s="168"/>
    </row>
    <row r="534" spans="2:14">
      <c r="B534" s="168"/>
      <c r="C534" s="168"/>
      <c r="D534" s="397"/>
      <c r="E534" s="168"/>
      <c r="F534" s="168"/>
      <c r="G534" s="168"/>
      <c r="H534" s="216"/>
      <c r="I534" s="168"/>
      <c r="J534" s="168"/>
      <c r="K534" s="397"/>
      <c r="L534" s="168"/>
      <c r="M534" s="168"/>
      <c r="N534" s="168"/>
    </row>
    <row r="535" spans="2:14">
      <c r="B535" s="168"/>
      <c r="C535" s="168"/>
      <c r="D535" s="397"/>
      <c r="E535" s="168"/>
      <c r="F535" s="168"/>
      <c r="G535" s="168"/>
      <c r="H535" s="216"/>
      <c r="I535" s="168"/>
      <c r="J535" s="168"/>
      <c r="K535" s="397"/>
      <c r="L535" s="168"/>
      <c r="M535" s="168"/>
      <c r="N535" s="168"/>
    </row>
    <row r="536" spans="2:14">
      <c r="B536" s="168"/>
      <c r="C536" s="168"/>
      <c r="D536" s="397"/>
      <c r="E536" s="168"/>
      <c r="F536" s="168"/>
      <c r="G536" s="168"/>
      <c r="H536" s="216"/>
      <c r="I536" s="168"/>
      <c r="J536" s="168"/>
      <c r="K536" s="397"/>
      <c r="L536" s="168"/>
      <c r="M536" s="168"/>
      <c r="N536" s="168"/>
    </row>
    <row r="537" spans="2:14">
      <c r="B537" s="168"/>
      <c r="C537" s="168"/>
      <c r="D537" s="397"/>
      <c r="E537" s="168"/>
      <c r="F537" s="168"/>
      <c r="G537" s="168"/>
      <c r="H537" s="216"/>
      <c r="I537" s="168"/>
      <c r="J537" s="168"/>
      <c r="K537" s="397"/>
      <c r="L537" s="168"/>
      <c r="M537" s="168"/>
      <c r="N537" s="168"/>
    </row>
    <row r="538" spans="2:14">
      <c r="B538" s="168"/>
      <c r="C538" s="168"/>
      <c r="D538" s="397"/>
      <c r="E538" s="168"/>
      <c r="F538" s="168"/>
      <c r="G538" s="168"/>
      <c r="H538" s="216"/>
      <c r="I538" s="168"/>
      <c r="J538" s="168"/>
      <c r="K538" s="397"/>
      <c r="L538" s="168"/>
      <c r="M538" s="168"/>
      <c r="N538" s="168"/>
    </row>
    <row r="539" spans="2:14">
      <c r="B539" s="168"/>
      <c r="C539" s="168"/>
      <c r="D539" s="397"/>
      <c r="E539" s="168"/>
      <c r="F539" s="168"/>
      <c r="G539" s="168"/>
      <c r="H539" s="216"/>
      <c r="I539" s="168"/>
      <c r="J539" s="168"/>
      <c r="K539" s="397"/>
      <c r="L539" s="168"/>
      <c r="M539" s="168"/>
      <c r="N539" s="168"/>
    </row>
    <row r="540" spans="2:14">
      <c r="B540" s="168"/>
      <c r="C540" s="168"/>
      <c r="D540" s="397"/>
      <c r="E540" s="168"/>
      <c r="F540" s="168"/>
      <c r="G540" s="168"/>
      <c r="H540" s="216"/>
      <c r="I540" s="168"/>
      <c r="J540" s="168"/>
      <c r="K540" s="397"/>
      <c r="L540" s="168"/>
      <c r="M540" s="168"/>
      <c r="N540" s="168"/>
    </row>
    <row r="541" spans="2:14">
      <c r="B541" s="168"/>
      <c r="C541" s="168"/>
      <c r="D541" s="397"/>
      <c r="E541" s="168"/>
      <c r="F541" s="168"/>
      <c r="G541" s="168"/>
      <c r="H541" s="216"/>
      <c r="I541" s="168"/>
      <c r="J541" s="168"/>
      <c r="K541" s="397"/>
      <c r="L541" s="168"/>
      <c r="M541" s="168"/>
      <c r="N541" s="168"/>
    </row>
    <row r="542" spans="2:14">
      <c r="B542" s="168"/>
      <c r="C542" s="168"/>
      <c r="D542" s="397"/>
      <c r="E542" s="168"/>
      <c r="F542" s="168"/>
      <c r="G542" s="168"/>
      <c r="H542" s="216"/>
      <c r="I542" s="168"/>
      <c r="J542" s="168"/>
      <c r="K542" s="397"/>
      <c r="L542" s="168"/>
      <c r="M542" s="168"/>
      <c r="N542" s="168"/>
    </row>
    <row r="543" spans="2:14">
      <c r="B543" s="168"/>
      <c r="C543" s="168"/>
      <c r="D543" s="397"/>
      <c r="E543" s="168"/>
      <c r="F543" s="168"/>
      <c r="G543" s="168"/>
      <c r="H543" s="216"/>
      <c r="I543" s="168"/>
      <c r="J543" s="168"/>
      <c r="K543" s="397"/>
      <c r="L543" s="168"/>
      <c r="M543" s="168"/>
      <c r="N543" s="168"/>
    </row>
    <row r="544" spans="2:14">
      <c r="B544" s="168"/>
      <c r="C544" s="168"/>
      <c r="D544" s="397"/>
      <c r="E544" s="168"/>
      <c r="F544" s="168"/>
      <c r="G544" s="168"/>
      <c r="H544" s="216"/>
      <c r="I544" s="168"/>
      <c r="J544" s="168"/>
      <c r="K544" s="397"/>
      <c r="L544" s="168"/>
      <c r="M544" s="168"/>
      <c r="N544" s="168"/>
    </row>
    <row r="545" spans="2:14">
      <c r="B545" s="168"/>
      <c r="C545" s="168"/>
      <c r="D545" s="397"/>
      <c r="E545" s="168"/>
      <c r="F545" s="168"/>
      <c r="G545" s="168"/>
      <c r="H545" s="216"/>
      <c r="I545" s="168"/>
      <c r="J545" s="168"/>
      <c r="K545" s="397"/>
      <c r="L545" s="168"/>
      <c r="M545" s="168"/>
      <c r="N545" s="168"/>
    </row>
    <row r="546" spans="2:14">
      <c r="B546" s="168"/>
      <c r="C546" s="168"/>
      <c r="D546" s="397"/>
      <c r="E546" s="168"/>
      <c r="F546" s="168"/>
      <c r="G546" s="168"/>
      <c r="H546" s="216"/>
      <c r="I546" s="168"/>
      <c r="J546" s="168"/>
      <c r="K546" s="397"/>
      <c r="L546" s="168"/>
      <c r="M546" s="168"/>
      <c r="N546" s="168"/>
    </row>
    <row r="547" spans="2:14">
      <c r="B547" s="168"/>
      <c r="C547" s="168"/>
      <c r="D547" s="397"/>
      <c r="E547" s="168"/>
      <c r="F547" s="168"/>
      <c r="G547" s="168"/>
      <c r="H547" s="216"/>
      <c r="I547" s="168"/>
      <c r="J547" s="168"/>
      <c r="K547" s="397"/>
      <c r="L547" s="168"/>
      <c r="M547" s="168"/>
      <c r="N547" s="168"/>
    </row>
    <row r="548" spans="2:14">
      <c r="B548" s="168"/>
      <c r="C548" s="168"/>
      <c r="D548" s="397"/>
      <c r="E548" s="168"/>
      <c r="F548" s="168"/>
      <c r="G548" s="168"/>
      <c r="H548" s="216"/>
      <c r="I548" s="168"/>
      <c r="J548" s="168"/>
      <c r="K548" s="397"/>
      <c r="L548" s="168"/>
      <c r="M548" s="168"/>
      <c r="N548" s="168"/>
    </row>
    <row r="549" spans="2:14">
      <c r="B549" s="168"/>
      <c r="C549" s="168"/>
      <c r="D549" s="397"/>
      <c r="E549" s="168"/>
      <c r="F549" s="168"/>
      <c r="G549" s="168"/>
      <c r="H549" s="216"/>
      <c r="I549" s="168"/>
      <c r="J549" s="168"/>
      <c r="K549" s="397"/>
      <c r="L549" s="168"/>
      <c r="M549" s="168"/>
      <c r="N549" s="168"/>
    </row>
    <row r="550" spans="2:14">
      <c r="B550" s="168"/>
      <c r="C550" s="168"/>
      <c r="D550" s="397"/>
      <c r="E550" s="168"/>
      <c r="F550" s="168"/>
      <c r="G550" s="168"/>
      <c r="H550" s="216"/>
      <c r="I550" s="168"/>
      <c r="J550" s="168"/>
      <c r="K550" s="397"/>
      <c r="L550" s="168"/>
      <c r="M550" s="168"/>
      <c r="N550" s="168"/>
    </row>
    <row r="551" spans="2:14">
      <c r="B551" s="168"/>
      <c r="C551" s="168"/>
      <c r="D551" s="397"/>
      <c r="E551" s="168"/>
      <c r="F551" s="168"/>
      <c r="G551" s="168"/>
      <c r="H551" s="216"/>
      <c r="I551" s="168"/>
      <c r="J551" s="168"/>
      <c r="K551" s="397"/>
      <c r="L551" s="168"/>
      <c r="M551" s="168"/>
      <c r="N551" s="168"/>
    </row>
    <row r="552" spans="2:14">
      <c r="B552" s="168"/>
      <c r="C552" s="168"/>
      <c r="D552" s="397"/>
      <c r="E552" s="168"/>
      <c r="F552" s="168"/>
      <c r="G552" s="168"/>
      <c r="H552" s="216"/>
      <c r="I552" s="168"/>
      <c r="J552" s="168"/>
      <c r="K552" s="397"/>
      <c r="L552" s="168"/>
      <c r="M552" s="168"/>
      <c r="N552" s="168"/>
    </row>
    <row r="553" spans="2:14">
      <c r="B553" s="168"/>
      <c r="C553" s="168"/>
      <c r="D553" s="397"/>
      <c r="E553" s="168"/>
      <c r="F553" s="168"/>
      <c r="G553" s="168"/>
      <c r="H553" s="216"/>
      <c r="I553" s="168"/>
      <c r="J553" s="168"/>
      <c r="K553" s="397"/>
      <c r="L553" s="168"/>
      <c r="M553" s="168"/>
      <c r="N553" s="168"/>
    </row>
    <row r="554" spans="2:14">
      <c r="B554" s="168"/>
      <c r="C554" s="168"/>
      <c r="D554" s="397"/>
      <c r="E554" s="168"/>
      <c r="F554" s="168"/>
      <c r="G554" s="168"/>
      <c r="H554" s="216"/>
      <c r="I554" s="168"/>
      <c r="J554" s="168"/>
      <c r="K554" s="397"/>
      <c r="L554" s="168"/>
      <c r="M554" s="168"/>
      <c r="N554" s="168"/>
    </row>
    <row r="555" spans="2:14">
      <c r="B555" s="168"/>
      <c r="C555" s="168"/>
      <c r="D555" s="397"/>
      <c r="E555" s="168"/>
      <c r="F555" s="168"/>
      <c r="G555" s="168"/>
      <c r="H555" s="216"/>
      <c r="I555" s="168"/>
      <c r="J555" s="168"/>
      <c r="K555" s="397"/>
      <c r="L555" s="168"/>
      <c r="M555" s="168"/>
      <c r="N555" s="168"/>
    </row>
    <row r="556" spans="2:14">
      <c r="B556" s="168"/>
      <c r="C556" s="168"/>
      <c r="D556" s="397"/>
      <c r="E556" s="168"/>
      <c r="F556" s="168"/>
      <c r="G556" s="168"/>
      <c r="H556" s="216"/>
      <c r="I556" s="168"/>
      <c r="J556" s="168"/>
      <c r="K556" s="397"/>
      <c r="L556" s="168"/>
      <c r="M556" s="168"/>
      <c r="N556" s="168"/>
    </row>
    <row r="557" spans="2:14">
      <c r="B557" s="168"/>
      <c r="C557" s="168"/>
      <c r="D557" s="397"/>
      <c r="E557" s="168"/>
      <c r="F557" s="168"/>
      <c r="G557" s="168"/>
      <c r="H557" s="216"/>
      <c r="I557" s="168"/>
      <c r="J557" s="168"/>
      <c r="K557" s="397"/>
      <c r="L557" s="168"/>
      <c r="M557" s="168"/>
      <c r="N557" s="168"/>
    </row>
    <row r="558" spans="2:14">
      <c r="B558" s="168"/>
      <c r="C558" s="168"/>
      <c r="D558" s="397"/>
      <c r="E558" s="168"/>
      <c r="F558" s="168"/>
      <c r="G558" s="168"/>
      <c r="H558" s="216"/>
      <c r="I558" s="168"/>
      <c r="J558" s="168"/>
      <c r="K558" s="397"/>
      <c r="L558" s="168"/>
      <c r="M558" s="168"/>
      <c r="N558" s="168"/>
    </row>
    <row r="559" spans="2:14">
      <c r="B559" s="168"/>
      <c r="C559" s="168"/>
      <c r="D559" s="397"/>
      <c r="E559" s="168"/>
      <c r="F559" s="168"/>
      <c r="G559" s="168"/>
      <c r="H559" s="216"/>
      <c r="I559" s="168"/>
      <c r="J559" s="168"/>
      <c r="K559" s="397"/>
      <c r="L559" s="168"/>
      <c r="M559" s="168"/>
      <c r="N559" s="168"/>
    </row>
    <row r="560" spans="2:14">
      <c r="B560" s="168"/>
      <c r="C560" s="168"/>
      <c r="D560" s="397"/>
      <c r="E560" s="168"/>
      <c r="F560" s="168"/>
      <c r="G560" s="168"/>
      <c r="H560" s="216"/>
      <c r="I560" s="168"/>
      <c r="J560" s="168"/>
      <c r="K560" s="397"/>
      <c r="L560" s="168"/>
      <c r="M560" s="168"/>
      <c r="N560" s="168"/>
    </row>
    <row r="561" spans="2:14">
      <c r="B561" s="168"/>
      <c r="C561" s="168"/>
      <c r="D561" s="397"/>
      <c r="E561" s="168"/>
      <c r="F561" s="168"/>
      <c r="G561" s="168"/>
      <c r="H561" s="216"/>
      <c r="I561" s="168"/>
      <c r="J561" s="168"/>
      <c r="K561" s="397"/>
      <c r="L561" s="168"/>
      <c r="M561" s="168"/>
      <c r="N561" s="168"/>
    </row>
    <row r="562" spans="2:14">
      <c r="B562" s="168"/>
      <c r="C562" s="168"/>
      <c r="D562" s="397"/>
      <c r="E562" s="168"/>
      <c r="F562" s="168"/>
      <c r="G562" s="168"/>
      <c r="H562" s="216"/>
      <c r="I562" s="168"/>
      <c r="J562" s="168"/>
      <c r="K562" s="397"/>
      <c r="L562" s="168"/>
      <c r="M562" s="168"/>
      <c r="N562" s="168"/>
    </row>
    <row r="563" spans="2:14">
      <c r="B563" s="168"/>
      <c r="C563" s="168"/>
      <c r="D563" s="397"/>
      <c r="E563" s="168"/>
      <c r="F563" s="168"/>
      <c r="G563" s="168"/>
      <c r="H563" s="216"/>
      <c r="I563" s="168"/>
      <c r="J563" s="168"/>
      <c r="K563" s="397"/>
      <c r="L563" s="168"/>
      <c r="M563" s="168"/>
      <c r="N563" s="168"/>
    </row>
    <row r="564" spans="2:14">
      <c r="B564" s="168"/>
      <c r="C564" s="168"/>
      <c r="D564" s="397"/>
      <c r="E564" s="168"/>
      <c r="F564" s="168"/>
      <c r="G564" s="168"/>
      <c r="H564" s="216"/>
      <c r="I564" s="168"/>
      <c r="J564" s="168"/>
      <c r="K564" s="397"/>
      <c r="L564" s="168"/>
      <c r="M564" s="168"/>
      <c r="N564" s="168"/>
    </row>
    <row r="565" spans="2:14">
      <c r="B565" s="168"/>
      <c r="C565" s="168"/>
      <c r="D565" s="397"/>
      <c r="E565" s="168"/>
      <c r="F565" s="168"/>
      <c r="G565" s="168"/>
      <c r="H565" s="216"/>
      <c r="I565" s="168"/>
      <c r="J565" s="168"/>
      <c r="K565" s="397"/>
      <c r="L565" s="168"/>
      <c r="M565" s="168"/>
      <c r="N565" s="168"/>
    </row>
    <row r="566" spans="2:14">
      <c r="B566" s="168"/>
      <c r="C566" s="168"/>
      <c r="D566" s="397"/>
      <c r="E566" s="168"/>
      <c r="F566" s="168"/>
      <c r="G566" s="168"/>
      <c r="H566" s="216"/>
      <c r="I566" s="168"/>
      <c r="J566" s="168"/>
      <c r="K566" s="397"/>
      <c r="L566" s="168"/>
      <c r="M566" s="168"/>
      <c r="N566" s="168"/>
    </row>
    <row r="567" spans="2:14">
      <c r="B567" s="168"/>
      <c r="C567" s="168"/>
      <c r="D567" s="397"/>
      <c r="E567" s="168"/>
      <c r="F567" s="168"/>
      <c r="G567" s="168"/>
      <c r="H567" s="216"/>
      <c r="I567" s="168"/>
      <c r="J567" s="168"/>
      <c r="K567" s="397"/>
      <c r="L567" s="168"/>
      <c r="M567" s="168"/>
      <c r="N567" s="168"/>
    </row>
    <row r="568" spans="2:14">
      <c r="B568" s="168"/>
      <c r="C568" s="168"/>
      <c r="D568" s="397"/>
      <c r="E568" s="168"/>
      <c r="F568" s="168"/>
      <c r="G568" s="168"/>
      <c r="H568" s="216"/>
      <c r="I568" s="168"/>
      <c r="J568" s="168"/>
      <c r="K568" s="397"/>
      <c r="L568" s="168"/>
      <c r="M568" s="168"/>
      <c r="N568" s="168"/>
    </row>
    <row r="569" spans="2:14">
      <c r="B569" s="168"/>
      <c r="C569" s="168"/>
      <c r="D569" s="397"/>
      <c r="E569" s="168"/>
      <c r="F569" s="168"/>
      <c r="G569" s="168"/>
      <c r="H569" s="216"/>
      <c r="I569" s="168"/>
      <c r="J569" s="168"/>
      <c r="K569" s="397"/>
      <c r="L569" s="168"/>
      <c r="M569" s="168"/>
      <c r="N569" s="168"/>
    </row>
    <row r="570" spans="2:14">
      <c r="B570" s="168"/>
      <c r="C570" s="168"/>
      <c r="D570" s="397"/>
      <c r="E570" s="168"/>
      <c r="F570" s="168"/>
      <c r="G570" s="168"/>
      <c r="H570" s="216"/>
      <c r="I570" s="168"/>
      <c r="J570" s="168"/>
      <c r="K570" s="397"/>
      <c r="L570" s="168"/>
      <c r="M570" s="168"/>
      <c r="N570" s="168"/>
    </row>
    <row r="571" spans="2:14">
      <c r="B571" s="168"/>
      <c r="C571" s="168"/>
      <c r="D571" s="397"/>
      <c r="E571" s="168"/>
      <c r="F571" s="168"/>
      <c r="G571" s="168"/>
      <c r="H571" s="216"/>
      <c r="I571" s="168"/>
      <c r="J571" s="168"/>
      <c r="K571" s="397"/>
      <c r="L571" s="168"/>
      <c r="M571" s="168"/>
      <c r="N571" s="168"/>
    </row>
    <row r="572" spans="2:14">
      <c r="B572" s="168"/>
      <c r="C572" s="168"/>
      <c r="D572" s="397"/>
      <c r="E572" s="168"/>
      <c r="F572" s="168"/>
      <c r="G572" s="168"/>
      <c r="H572" s="216"/>
      <c r="I572" s="168"/>
      <c r="J572" s="168"/>
      <c r="K572" s="397"/>
      <c r="L572" s="168"/>
      <c r="M572" s="168"/>
      <c r="N572" s="168"/>
    </row>
    <row r="573" spans="2:14">
      <c r="B573" s="168"/>
      <c r="C573" s="168"/>
      <c r="D573" s="397"/>
      <c r="E573" s="168"/>
      <c r="F573" s="168"/>
      <c r="G573" s="168"/>
      <c r="H573" s="216"/>
      <c r="I573" s="168"/>
      <c r="J573" s="168"/>
      <c r="K573" s="397"/>
      <c r="L573" s="168"/>
      <c r="M573" s="168"/>
      <c r="N573" s="168"/>
    </row>
    <row r="574" spans="2:14">
      <c r="B574" s="168"/>
      <c r="C574" s="168"/>
      <c r="D574" s="397"/>
      <c r="E574" s="168"/>
      <c r="F574" s="168"/>
      <c r="G574" s="168"/>
      <c r="H574" s="216"/>
      <c r="I574" s="168"/>
      <c r="J574" s="168"/>
      <c r="K574" s="397"/>
      <c r="L574" s="168"/>
      <c r="M574" s="168"/>
      <c r="N574" s="168"/>
    </row>
    <row r="575" spans="2:14">
      <c r="B575" s="168"/>
      <c r="C575" s="168"/>
      <c r="D575" s="397"/>
      <c r="E575" s="168"/>
      <c r="F575" s="168"/>
      <c r="G575" s="168"/>
      <c r="H575" s="216"/>
      <c r="I575" s="168"/>
      <c r="J575" s="168"/>
      <c r="K575" s="397"/>
      <c r="L575" s="168"/>
      <c r="M575" s="168"/>
      <c r="N575" s="168"/>
    </row>
    <row r="576" spans="2:14">
      <c r="B576" s="168"/>
      <c r="C576" s="168"/>
      <c r="D576" s="397"/>
      <c r="E576" s="168"/>
      <c r="F576" s="168"/>
      <c r="G576" s="168"/>
      <c r="H576" s="216"/>
      <c r="I576" s="168"/>
      <c r="J576" s="168"/>
      <c r="K576" s="397"/>
      <c r="L576" s="168"/>
      <c r="M576" s="168"/>
      <c r="N576" s="168"/>
    </row>
    <row r="577" spans="2:14">
      <c r="B577" s="168"/>
      <c r="C577" s="168"/>
      <c r="D577" s="397"/>
      <c r="E577" s="168"/>
      <c r="F577" s="168"/>
      <c r="G577" s="168"/>
      <c r="H577" s="216"/>
      <c r="I577" s="168"/>
      <c r="J577" s="168"/>
      <c r="K577" s="397"/>
      <c r="L577" s="168"/>
      <c r="M577" s="168"/>
      <c r="N577" s="168"/>
    </row>
    <row r="578" spans="2:14">
      <c r="B578" s="168"/>
      <c r="C578" s="168"/>
      <c r="D578" s="397"/>
      <c r="E578" s="168"/>
      <c r="F578" s="168"/>
      <c r="G578" s="168"/>
      <c r="H578" s="216"/>
      <c r="I578" s="168"/>
      <c r="J578" s="168"/>
      <c r="K578" s="397"/>
      <c r="L578" s="168"/>
      <c r="M578" s="168"/>
      <c r="N578" s="168"/>
    </row>
    <row r="579" spans="2:14">
      <c r="B579" s="168"/>
      <c r="C579" s="168"/>
      <c r="D579" s="397"/>
      <c r="E579" s="168"/>
      <c r="F579" s="168"/>
      <c r="G579" s="168"/>
      <c r="H579" s="216"/>
      <c r="I579" s="168"/>
      <c r="J579" s="168"/>
      <c r="K579" s="397"/>
      <c r="L579" s="168"/>
      <c r="M579" s="168"/>
      <c r="N579" s="168"/>
    </row>
    <row r="580" spans="2:14">
      <c r="B580" s="168"/>
      <c r="C580" s="168"/>
      <c r="D580" s="397"/>
      <c r="E580" s="168"/>
      <c r="F580" s="168"/>
      <c r="G580" s="168"/>
      <c r="H580" s="216"/>
      <c r="I580" s="168"/>
      <c r="J580" s="168"/>
      <c r="K580" s="397"/>
      <c r="L580" s="168"/>
      <c r="M580" s="168"/>
      <c r="N580" s="168"/>
    </row>
    <row r="581" spans="2:14">
      <c r="B581" s="168"/>
      <c r="C581" s="168"/>
      <c r="D581" s="397"/>
      <c r="E581" s="168"/>
      <c r="F581" s="168"/>
      <c r="G581" s="168"/>
      <c r="H581" s="216"/>
      <c r="I581" s="168"/>
      <c r="J581" s="168"/>
      <c r="K581" s="397"/>
      <c r="L581" s="168"/>
      <c r="M581" s="168"/>
      <c r="N581" s="168"/>
    </row>
    <row r="582" spans="2:14">
      <c r="B582" s="168"/>
      <c r="C582" s="168"/>
      <c r="D582" s="397"/>
      <c r="E582" s="168"/>
      <c r="F582" s="168"/>
      <c r="G582" s="168"/>
      <c r="H582" s="216"/>
      <c r="I582" s="168"/>
      <c r="J582" s="168"/>
      <c r="K582" s="397"/>
      <c r="L582" s="168"/>
      <c r="M582" s="168"/>
      <c r="N582" s="168"/>
    </row>
    <row r="583" spans="2:14">
      <c r="B583" s="168"/>
      <c r="C583" s="168"/>
      <c r="D583" s="397"/>
      <c r="E583" s="168"/>
      <c r="F583" s="168"/>
      <c r="G583" s="168"/>
      <c r="H583" s="216"/>
      <c r="I583" s="168"/>
      <c r="J583" s="168"/>
      <c r="K583" s="397"/>
      <c r="L583" s="168"/>
      <c r="M583" s="168"/>
      <c r="N583" s="168"/>
    </row>
    <row r="584" spans="2:14">
      <c r="B584" s="168"/>
      <c r="C584" s="168"/>
      <c r="D584" s="397"/>
      <c r="E584" s="168"/>
      <c r="F584" s="168"/>
      <c r="G584" s="168"/>
      <c r="H584" s="216"/>
      <c r="I584" s="168"/>
      <c r="J584" s="168"/>
      <c r="K584" s="397"/>
      <c r="L584" s="168"/>
      <c r="M584" s="168"/>
      <c r="N584" s="168"/>
    </row>
    <row r="585" spans="2:14">
      <c r="B585" s="168"/>
      <c r="C585" s="168"/>
      <c r="D585" s="397"/>
      <c r="E585" s="168"/>
      <c r="F585" s="168"/>
      <c r="G585" s="168"/>
      <c r="H585" s="216"/>
      <c r="I585" s="168"/>
      <c r="J585" s="168"/>
      <c r="K585" s="397"/>
      <c r="L585" s="168"/>
      <c r="M585" s="168"/>
      <c r="N585" s="168"/>
    </row>
    <row r="586" spans="2:14">
      <c r="B586" s="168"/>
      <c r="C586" s="168"/>
      <c r="D586" s="397"/>
      <c r="E586" s="168"/>
      <c r="F586" s="168"/>
      <c r="G586" s="168"/>
      <c r="H586" s="216"/>
      <c r="I586" s="168"/>
      <c r="J586" s="168"/>
      <c r="K586" s="397"/>
      <c r="L586" s="168"/>
      <c r="M586" s="168"/>
      <c r="N586" s="168"/>
    </row>
    <row r="587" spans="2:14">
      <c r="B587" s="168"/>
      <c r="C587" s="168"/>
      <c r="D587" s="397"/>
      <c r="E587" s="168"/>
      <c r="F587" s="168"/>
      <c r="G587" s="168"/>
      <c r="H587" s="216"/>
      <c r="I587" s="168"/>
      <c r="J587" s="168"/>
      <c r="K587" s="397"/>
      <c r="L587" s="168"/>
      <c r="M587" s="168"/>
      <c r="N587" s="168"/>
    </row>
    <row r="588" spans="2:14">
      <c r="B588" s="168"/>
      <c r="C588" s="168"/>
      <c r="D588" s="397"/>
      <c r="E588" s="168"/>
      <c r="F588" s="168"/>
      <c r="G588" s="168"/>
      <c r="H588" s="216"/>
      <c r="I588" s="168"/>
      <c r="J588" s="168"/>
      <c r="K588" s="397"/>
      <c r="L588" s="168"/>
      <c r="M588" s="168"/>
      <c r="N588" s="168"/>
    </row>
    <row r="589" spans="2:14">
      <c r="B589" s="168"/>
      <c r="C589" s="168"/>
      <c r="D589" s="397"/>
      <c r="E589" s="168"/>
      <c r="F589" s="168"/>
      <c r="G589" s="168"/>
      <c r="H589" s="216"/>
      <c r="I589" s="168"/>
      <c r="J589" s="168"/>
      <c r="K589" s="397"/>
      <c r="L589" s="168"/>
      <c r="M589" s="168"/>
      <c r="N589" s="168"/>
    </row>
    <row r="590" spans="2:14">
      <c r="B590" s="168"/>
      <c r="C590" s="168"/>
      <c r="D590" s="397"/>
      <c r="E590" s="168"/>
      <c r="F590" s="168"/>
      <c r="G590" s="168"/>
      <c r="H590" s="216"/>
      <c r="I590" s="168"/>
      <c r="J590" s="168"/>
      <c r="K590" s="397"/>
      <c r="L590" s="168"/>
      <c r="M590" s="168"/>
      <c r="N590" s="168"/>
    </row>
    <row r="591" spans="2:14">
      <c r="B591" s="168"/>
      <c r="C591" s="168"/>
      <c r="D591" s="397"/>
      <c r="E591" s="168"/>
      <c r="F591" s="168"/>
      <c r="G591" s="168"/>
      <c r="H591" s="216"/>
      <c r="I591" s="168"/>
      <c r="J591" s="168"/>
      <c r="K591" s="397"/>
      <c r="L591" s="168"/>
      <c r="M591" s="168"/>
      <c r="N591" s="168"/>
    </row>
    <row r="592" spans="2:14">
      <c r="B592" s="168"/>
      <c r="C592" s="168"/>
      <c r="D592" s="397"/>
      <c r="E592" s="168"/>
      <c r="F592" s="168"/>
      <c r="G592" s="168"/>
      <c r="H592" s="216"/>
      <c r="I592" s="168"/>
      <c r="J592" s="168"/>
      <c r="K592" s="397"/>
      <c r="L592" s="168"/>
      <c r="M592" s="168"/>
      <c r="N592" s="168"/>
    </row>
    <row r="593" spans="2:14">
      <c r="B593" s="168"/>
      <c r="C593" s="168"/>
      <c r="D593" s="397"/>
      <c r="E593" s="168"/>
      <c r="F593" s="168"/>
      <c r="G593" s="168"/>
      <c r="H593" s="216"/>
      <c r="I593" s="168"/>
      <c r="J593" s="168"/>
      <c r="K593" s="397"/>
      <c r="L593" s="168"/>
      <c r="M593" s="168"/>
      <c r="N593" s="168"/>
    </row>
    <row r="594" spans="2:14">
      <c r="B594" s="168"/>
      <c r="C594" s="168"/>
      <c r="D594" s="397"/>
      <c r="E594" s="168"/>
      <c r="F594" s="168"/>
      <c r="G594" s="168"/>
      <c r="H594" s="216"/>
      <c r="I594" s="168"/>
      <c r="J594" s="168"/>
      <c r="K594" s="397"/>
      <c r="L594" s="168"/>
      <c r="M594" s="168"/>
      <c r="N594" s="168"/>
    </row>
    <row r="595" spans="2:14">
      <c r="B595" s="168"/>
      <c r="C595" s="168"/>
      <c r="D595" s="397"/>
      <c r="E595" s="168"/>
      <c r="F595" s="168"/>
      <c r="G595" s="168"/>
      <c r="H595" s="216"/>
      <c r="I595" s="168"/>
      <c r="J595" s="168"/>
      <c r="K595" s="397"/>
      <c r="L595" s="168"/>
      <c r="M595" s="168"/>
      <c r="N595" s="168"/>
    </row>
    <row r="596" spans="2:14">
      <c r="B596" s="168"/>
      <c r="C596" s="168"/>
      <c r="D596" s="397"/>
      <c r="E596" s="168"/>
      <c r="F596" s="168"/>
      <c r="G596" s="168"/>
      <c r="H596" s="216"/>
      <c r="I596" s="168"/>
      <c r="J596" s="168"/>
      <c r="K596" s="397"/>
      <c r="L596" s="168"/>
      <c r="M596" s="168"/>
      <c r="N596" s="168"/>
    </row>
    <row r="597" spans="2:14">
      <c r="B597" s="168"/>
      <c r="C597" s="168"/>
      <c r="D597" s="397"/>
      <c r="E597" s="168"/>
      <c r="F597" s="168"/>
      <c r="G597" s="168"/>
      <c r="H597" s="216"/>
      <c r="I597" s="168"/>
      <c r="J597" s="168"/>
      <c r="K597" s="397"/>
      <c r="L597" s="168"/>
      <c r="M597" s="168"/>
      <c r="N597" s="168"/>
    </row>
    <row r="598" spans="2:14">
      <c r="B598" s="168"/>
      <c r="C598" s="168"/>
      <c r="D598" s="397"/>
      <c r="E598" s="168"/>
      <c r="F598" s="168"/>
      <c r="G598" s="168"/>
      <c r="H598" s="216"/>
      <c r="I598" s="168"/>
      <c r="J598" s="168"/>
      <c r="K598" s="397"/>
      <c r="L598" s="168"/>
      <c r="M598" s="168"/>
      <c r="N598" s="168"/>
    </row>
    <row r="599" spans="2:14">
      <c r="B599" s="168"/>
      <c r="C599" s="168"/>
      <c r="D599" s="397"/>
      <c r="E599" s="168"/>
      <c r="F599" s="168"/>
      <c r="G599" s="168"/>
      <c r="H599" s="216"/>
      <c r="I599" s="168"/>
      <c r="J599" s="168"/>
      <c r="K599" s="397"/>
      <c r="L599" s="168"/>
      <c r="M599" s="168"/>
      <c r="N599" s="168"/>
    </row>
    <row r="600" spans="2:14">
      <c r="B600" s="168"/>
      <c r="C600" s="168"/>
      <c r="D600" s="397"/>
      <c r="E600" s="168"/>
      <c r="F600" s="168"/>
      <c r="G600" s="168"/>
      <c r="H600" s="216"/>
      <c r="I600" s="168"/>
      <c r="J600" s="168"/>
      <c r="K600" s="397"/>
      <c r="L600" s="168"/>
      <c r="M600" s="168"/>
      <c r="N600" s="168"/>
    </row>
    <row r="601" spans="2:14">
      <c r="B601" s="168"/>
      <c r="C601" s="168"/>
      <c r="D601" s="397"/>
      <c r="E601" s="168"/>
      <c r="F601" s="168"/>
      <c r="G601" s="168"/>
      <c r="H601" s="216"/>
      <c r="I601" s="168"/>
      <c r="J601" s="168"/>
      <c r="K601" s="397"/>
      <c r="L601" s="168"/>
      <c r="M601" s="168"/>
      <c r="N601" s="168"/>
    </row>
    <row r="602" spans="2:14">
      <c r="B602" s="168"/>
      <c r="C602" s="168"/>
      <c r="D602" s="397"/>
      <c r="E602" s="168"/>
      <c r="F602" s="168"/>
      <c r="G602" s="168"/>
      <c r="H602" s="216"/>
      <c r="I602" s="168"/>
      <c r="J602" s="168"/>
      <c r="K602" s="397"/>
      <c r="L602" s="168"/>
      <c r="M602" s="168"/>
      <c r="N602" s="168"/>
    </row>
    <row r="603" spans="2:14">
      <c r="B603" s="168"/>
      <c r="C603" s="168"/>
      <c r="D603" s="397"/>
      <c r="E603" s="168"/>
      <c r="F603" s="168"/>
      <c r="G603" s="168"/>
      <c r="H603" s="216"/>
      <c r="I603" s="168"/>
      <c r="J603" s="168"/>
      <c r="K603" s="397"/>
      <c r="L603" s="168"/>
      <c r="M603" s="168"/>
      <c r="N603" s="168"/>
    </row>
    <row r="604" spans="2:14">
      <c r="B604" s="168"/>
      <c r="C604" s="168"/>
      <c r="D604" s="397"/>
      <c r="E604" s="168"/>
      <c r="F604" s="168"/>
      <c r="G604" s="168"/>
      <c r="H604" s="216"/>
      <c r="I604" s="168"/>
      <c r="J604" s="168"/>
      <c r="K604" s="397"/>
      <c r="L604" s="168"/>
      <c r="M604" s="168"/>
      <c r="N604" s="168"/>
    </row>
    <row r="605" spans="2:14">
      <c r="B605" s="168"/>
      <c r="C605" s="168"/>
      <c r="D605" s="397"/>
      <c r="E605" s="168"/>
      <c r="F605" s="168"/>
      <c r="G605" s="168"/>
      <c r="H605" s="216"/>
      <c r="I605" s="168"/>
      <c r="J605" s="168"/>
      <c r="K605" s="397"/>
      <c r="L605" s="168"/>
      <c r="M605" s="168"/>
      <c r="N605" s="168"/>
    </row>
    <row r="606" spans="2:14">
      <c r="B606" s="168"/>
      <c r="C606" s="168"/>
      <c r="D606" s="397"/>
      <c r="E606" s="168"/>
      <c r="F606" s="168"/>
      <c r="G606" s="168"/>
      <c r="H606" s="216"/>
      <c r="I606" s="168"/>
      <c r="J606" s="168"/>
      <c r="K606" s="397"/>
      <c r="L606" s="168"/>
      <c r="M606" s="168"/>
      <c r="N606" s="168"/>
    </row>
    <row r="607" spans="2:14">
      <c r="B607" s="168"/>
      <c r="C607" s="168"/>
      <c r="D607" s="397"/>
      <c r="E607" s="168"/>
      <c r="F607" s="168"/>
      <c r="G607" s="168"/>
      <c r="H607" s="216"/>
      <c r="I607" s="168"/>
      <c r="J607" s="168"/>
      <c r="K607" s="397"/>
      <c r="L607" s="168"/>
      <c r="M607" s="168"/>
      <c r="N607" s="168"/>
    </row>
    <row r="608" spans="2:14">
      <c r="B608" s="168"/>
      <c r="C608" s="168"/>
      <c r="D608" s="397"/>
      <c r="E608" s="168"/>
      <c r="F608" s="168"/>
      <c r="G608" s="168"/>
      <c r="H608" s="216"/>
      <c r="I608" s="168"/>
      <c r="J608" s="168"/>
      <c r="K608" s="397"/>
      <c r="L608" s="168"/>
      <c r="M608" s="168"/>
      <c r="N608" s="168"/>
    </row>
    <row r="609" spans="2:14">
      <c r="B609" s="168"/>
      <c r="C609" s="168"/>
      <c r="D609" s="397"/>
      <c r="E609" s="168"/>
      <c r="F609" s="168"/>
      <c r="G609" s="168"/>
      <c r="H609" s="216"/>
      <c r="I609" s="168"/>
      <c r="J609" s="168"/>
      <c r="K609" s="397"/>
      <c r="L609" s="168"/>
      <c r="M609" s="168"/>
      <c r="N609" s="168"/>
    </row>
    <row r="610" spans="2:14">
      <c r="B610" s="168"/>
      <c r="C610" s="168"/>
      <c r="D610" s="397"/>
      <c r="E610" s="168"/>
      <c r="F610" s="168"/>
      <c r="G610" s="168"/>
      <c r="H610" s="216"/>
      <c r="I610" s="168"/>
      <c r="J610" s="168"/>
      <c r="K610" s="397"/>
      <c r="L610" s="168"/>
      <c r="M610" s="168"/>
      <c r="N610" s="168"/>
    </row>
    <row r="611" spans="2:14">
      <c r="B611" s="168"/>
      <c r="C611" s="168"/>
      <c r="D611" s="397"/>
      <c r="E611" s="168"/>
      <c r="F611" s="168"/>
      <c r="G611" s="168"/>
      <c r="H611" s="216"/>
      <c r="I611" s="168"/>
      <c r="J611" s="168"/>
      <c r="K611" s="397"/>
      <c r="L611" s="168"/>
      <c r="M611" s="168"/>
      <c r="N611" s="168"/>
    </row>
    <row r="612" spans="2:14">
      <c r="B612" s="168"/>
      <c r="C612" s="168"/>
      <c r="D612" s="397"/>
      <c r="E612" s="168"/>
      <c r="F612" s="168"/>
      <c r="G612" s="168"/>
      <c r="H612" s="216"/>
      <c r="I612" s="168"/>
      <c r="J612" s="168"/>
      <c r="K612" s="397"/>
      <c r="L612" s="168"/>
      <c r="M612" s="168"/>
      <c r="N612" s="168"/>
    </row>
    <row r="613" spans="2:14">
      <c r="B613" s="168"/>
      <c r="C613" s="168"/>
      <c r="D613" s="397"/>
      <c r="E613" s="168"/>
      <c r="F613" s="168"/>
      <c r="G613" s="168"/>
      <c r="H613" s="216"/>
      <c r="I613" s="168"/>
      <c r="J613" s="168"/>
      <c r="K613" s="397"/>
      <c r="L613" s="168"/>
      <c r="M613" s="168"/>
      <c r="N613" s="168"/>
    </row>
    <row r="614" spans="2:14">
      <c r="B614" s="168"/>
      <c r="C614" s="168"/>
      <c r="D614" s="397"/>
      <c r="E614" s="168"/>
      <c r="F614" s="168"/>
      <c r="G614" s="168"/>
      <c r="H614" s="216"/>
      <c r="I614" s="168"/>
      <c r="J614" s="168"/>
      <c r="K614" s="397"/>
      <c r="L614" s="168"/>
      <c r="M614" s="168"/>
      <c r="N614" s="168"/>
    </row>
    <row r="615" spans="2:14">
      <c r="B615" s="168"/>
      <c r="C615" s="168"/>
      <c r="D615" s="397"/>
      <c r="E615" s="168"/>
      <c r="F615" s="168"/>
      <c r="G615" s="168"/>
      <c r="H615" s="216"/>
      <c r="I615" s="168"/>
      <c r="J615" s="168"/>
      <c r="K615" s="397"/>
      <c r="L615" s="168"/>
      <c r="M615" s="168"/>
      <c r="N615" s="168"/>
    </row>
    <row r="616" spans="2:14">
      <c r="B616" s="168"/>
      <c r="C616" s="168"/>
      <c r="D616" s="397"/>
      <c r="E616" s="168"/>
      <c r="F616" s="168"/>
      <c r="G616" s="168"/>
      <c r="H616" s="216"/>
      <c r="I616" s="168"/>
      <c r="J616" s="168"/>
      <c r="K616" s="397"/>
      <c r="L616" s="168"/>
      <c r="M616" s="168"/>
      <c r="N616" s="168"/>
    </row>
    <row r="617" spans="2:14">
      <c r="B617" s="168"/>
      <c r="C617" s="168"/>
      <c r="D617" s="397"/>
      <c r="E617" s="168"/>
      <c r="F617" s="168"/>
      <c r="G617" s="168"/>
      <c r="H617" s="216"/>
      <c r="I617" s="168"/>
      <c r="J617" s="168"/>
      <c r="K617" s="397"/>
      <c r="L617" s="168"/>
      <c r="M617" s="168"/>
      <c r="N617" s="168"/>
    </row>
    <row r="618" spans="2:14">
      <c r="B618" s="168"/>
      <c r="C618" s="168"/>
      <c r="D618" s="397"/>
      <c r="E618" s="168"/>
      <c r="F618" s="168"/>
      <c r="G618" s="168"/>
      <c r="H618" s="216"/>
      <c r="I618" s="168"/>
      <c r="J618" s="168"/>
      <c r="K618" s="397"/>
      <c r="L618" s="168"/>
      <c r="M618" s="168"/>
      <c r="N618" s="168"/>
    </row>
    <row r="619" spans="2:14">
      <c r="B619" s="168"/>
      <c r="C619" s="168"/>
      <c r="D619" s="397"/>
      <c r="E619" s="168"/>
      <c r="F619" s="168"/>
      <c r="G619" s="168"/>
      <c r="H619" s="216"/>
      <c r="I619" s="168"/>
      <c r="J619" s="168"/>
      <c r="K619" s="397"/>
      <c r="L619" s="168"/>
      <c r="M619" s="168"/>
      <c r="N619" s="168"/>
    </row>
    <row r="620" spans="2:14">
      <c r="B620" s="168"/>
      <c r="C620" s="168"/>
      <c r="D620" s="397"/>
      <c r="E620" s="168"/>
      <c r="F620" s="168"/>
      <c r="G620" s="168"/>
      <c r="H620" s="216"/>
      <c r="I620" s="168"/>
      <c r="J620" s="168"/>
      <c r="K620" s="397"/>
      <c r="L620" s="168"/>
      <c r="M620" s="168"/>
      <c r="N620" s="168"/>
    </row>
    <row r="621" spans="2:14">
      <c r="B621" s="168"/>
      <c r="C621" s="168"/>
      <c r="D621" s="397"/>
      <c r="E621" s="168"/>
      <c r="F621" s="168"/>
      <c r="G621" s="168"/>
      <c r="H621" s="216"/>
      <c r="I621" s="168"/>
      <c r="J621" s="168"/>
      <c r="K621" s="397"/>
      <c r="L621" s="168"/>
      <c r="M621" s="168"/>
      <c r="N621" s="168"/>
    </row>
    <row r="622" spans="2:14">
      <c r="B622" s="168"/>
      <c r="C622" s="168"/>
      <c r="D622" s="397"/>
      <c r="E622" s="168"/>
      <c r="F622" s="168"/>
      <c r="G622" s="168"/>
      <c r="H622" s="216"/>
      <c r="I622" s="168"/>
      <c r="J622" s="168"/>
      <c r="K622" s="397"/>
      <c r="L622" s="168"/>
      <c r="M622" s="168"/>
      <c r="N622" s="168"/>
    </row>
    <row r="623" spans="2:14">
      <c r="B623" s="168"/>
      <c r="C623" s="168"/>
      <c r="D623" s="397"/>
      <c r="E623" s="168"/>
      <c r="F623" s="168"/>
      <c r="G623" s="168"/>
      <c r="H623" s="216"/>
      <c r="I623" s="168"/>
      <c r="J623" s="168"/>
      <c r="K623" s="397"/>
      <c r="L623" s="168"/>
      <c r="M623" s="168"/>
      <c r="N623" s="168"/>
    </row>
    <row r="624" spans="2:14">
      <c r="B624" s="168"/>
      <c r="C624" s="168"/>
      <c r="D624" s="397"/>
      <c r="E624" s="168"/>
      <c r="F624" s="168"/>
      <c r="G624" s="168"/>
      <c r="H624" s="216"/>
      <c r="I624" s="168"/>
      <c r="J624" s="168"/>
      <c r="K624" s="397"/>
      <c r="L624" s="168"/>
      <c r="M624" s="168"/>
      <c r="N624" s="168"/>
    </row>
    <row r="625" spans="2:14">
      <c r="B625" s="168"/>
      <c r="C625" s="168"/>
      <c r="D625" s="397"/>
      <c r="E625" s="168"/>
      <c r="F625" s="168"/>
      <c r="G625" s="168"/>
      <c r="H625" s="216"/>
      <c r="I625" s="168"/>
      <c r="J625" s="168"/>
      <c r="K625" s="397"/>
      <c r="L625" s="168"/>
      <c r="M625" s="168"/>
      <c r="N625" s="168"/>
    </row>
    <row r="626" spans="2:14">
      <c r="B626" s="168"/>
      <c r="C626" s="168"/>
      <c r="D626" s="397"/>
      <c r="E626" s="168"/>
      <c r="F626" s="168"/>
      <c r="G626" s="168"/>
      <c r="H626" s="216"/>
      <c r="I626" s="168"/>
      <c r="J626" s="168"/>
      <c r="K626" s="397"/>
      <c r="L626" s="168"/>
      <c r="M626" s="168"/>
      <c r="N626" s="168"/>
    </row>
    <row r="627" spans="2:14">
      <c r="B627" s="168"/>
      <c r="C627" s="168"/>
      <c r="D627" s="397"/>
      <c r="E627" s="168"/>
      <c r="F627" s="168"/>
      <c r="G627" s="168"/>
      <c r="H627" s="216"/>
      <c r="I627" s="168"/>
      <c r="J627" s="168"/>
      <c r="K627" s="397"/>
      <c r="L627" s="168"/>
      <c r="M627" s="168"/>
      <c r="N627" s="168"/>
    </row>
    <row r="628" spans="2:14">
      <c r="B628" s="168"/>
      <c r="C628" s="168"/>
      <c r="D628" s="397"/>
      <c r="E628" s="168"/>
      <c r="F628" s="168"/>
      <c r="G628" s="168"/>
      <c r="H628" s="216"/>
      <c r="I628" s="168"/>
      <c r="J628" s="168"/>
      <c r="K628" s="397"/>
      <c r="L628" s="168"/>
      <c r="M628" s="168"/>
      <c r="N628" s="168"/>
    </row>
    <row r="629" spans="2:14">
      <c r="B629" s="168"/>
      <c r="C629" s="168"/>
      <c r="D629" s="397"/>
      <c r="E629" s="168"/>
      <c r="F629" s="168"/>
      <c r="G629" s="168"/>
      <c r="H629" s="216"/>
      <c r="I629" s="168"/>
      <c r="J629" s="168"/>
      <c r="K629" s="397"/>
      <c r="L629" s="168"/>
      <c r="M629" s="168"/>
      <c r="N629" s="168"/>
    </row>
    <row r="630" spans="2:14">
      <c r="B630" s="168"/>
      <c r="C630" s="168"/>
      <c r="D630" s="397"/>
      <c r="E630" s="168"/>
      <c r="F630" s="168"/>
      <c r="G630" s="168"/>
      <c r="H630" s="216"/>
      <c r="I630" s="168"/>
      <c r="J630" s="168"/>
      <c r="K630" s="397"/>
      <c r="L630" s="168"/>
      <c r="M630" s="168"/>
      <c r="N630" s="168"/>
    </row>
    <row r="631" spans="2:14">
      <c r="B631" s="168"/>
      <c r="C631" s="168"/>
      <c r="D631" s="397"/>
      <c r="E631" s="168"/>
      <c r="F631" s="168"/>
      <c r="G631" s="168"/>
      <c r="H631" s="216"/>
      <c r="I631" s="168"/>
      <c r="J631" s="168"/>
      <c r="K631" s="397"/>
      <c r="L631" s="168"/>
      <c r="M631" s="168"/>
      <c r="N631" s="168"/>
    </row>
    <row r="632" spans="2:14">
      <c r="B632" s="168"/>
      <c r="C632" s="168"/>
      <c r="D632" s="397"/>
      <c r="E632" s="168"/>
      <c r="F632" s="168"/>
      <c r="G632" s="168"/>
      <c r="H632" s="216"/>
      <c r="I632" s="168"/>
      <c r="J632" s="168"/>
      <c r="K632" s="397"/>
      <c r="L632" s="168"/>
      <c r="M632" s="168"/>
      <c r="N632" s="168"/>
    </row>
    <row r="633" spans="2:14">
      <c r="B633" s="168"/>
      <c r="C633" s="168"/>
      <c r="D633" s="397"/>
      <c r="E633" s="168"/>
      <c r="F633" s="168"/>
      <c r="G633" s="168"/>
      <c r="H633" s="216"/>
      <c r="I633" s="168"/>
      <c r="J633" s="168"/>
      <c r="K633" s="397"/>
      <c r="L633" s="168"/>
      <c r="M633" s="168"/>
      <c r="N633" s="168"/>
    </row>
    <row r="634" spans="2:14">
      <c r="B634" s="168"/>
      <c r="C634" s="168"/>
      <c r="D634" s="397"/>
      <c r="E634" s="168"/>
      <c r="F634" s="168"/>
      <c r="G634" s="168"/>
      <c r="H634" s="216"/>
      <c r="I634" s="168"/>
      <c r="J634" s="168"/>
      <c r="K634" s="397"/>
      <c r="L634" s="168"/>
      <c r="M634" s="168"/>
      <c r="N634" s="168"/>
    </row>
    <row r="635" spans="2:14">
      <c r="B635" s="168"/>
      <c r="C635" s="168"/>
      <c r="D635" s="397"/>
      <c r="E635" s="168"/>
      <c r="F635" s="168"/>
      <c r="G635" s="168"/>
      <c r="H635" s="216"/>
      <c r="I635" s="168"/>
      <c r="J635" s="168"/>
      <c r="K635" s="397"/>
      <c r="L635" s="168"/>
      <c r="M635" s="168"/>
      <c r="N635" s="168"/>
    </row>
    <row r="636" spans="2:14">
      <c r="B636" s="168"/>
      <c r="C636" s="168"/>
      <c r="D636" s="397"/>
      <c r="E636" s="168"/>
      <c r="F636" s="168"/>
      <c r="G636" s="168"/>
      <c r="H636" s="216"/>
      <c r="I636" s="168"/>
      <c r="J636" s="168"/>
      <c r="K636" s="397"/>
      <c r="L636" s="168"/>
      <c r="M636" s="168"/>
      <c r="N636" s="168"/>
    </row>
    <row r="637" spans="2:14">
      <c r="B637" s="168"/>
      <c r="C637" s="168"/>
      <c r="D637" s="397"/>
      <c r="E637" s="168"/>
      <c r="F637" s="168"/>
      <c r="G637" s="168"/>
      <c r="H637" s="216"/>
      <c r="I637" s="168"/>
      <c r="J637" s="168"/>
      <c r="K637" s="397"/>
      <c r="L637" s="168"/>
      <c r="M637" s="168"/>
      <c r="N637" s="168"/>
    </row>
    <row r="638" spans="2:14">
      <c r="B638" s="168"/>
      <c r="C638" s="168"/>
      <c r="D638" s="397"/>
      <c r="E638" s="168"/>
      <c r="F638" s="168"/>
      <c r="G638" s="168"/>
      <c r="H638" s="216"/>
      <c r="I638" s="168"/>
      <c r="J638" s="168"/>
      <c r="K638" s="397"/>
      <c r="L638" s="168"/>
      <c r="M638" s="168"/>
      <c r="N638" s="168"/>
    </row>
    <row r="639" spans="2:14">
      <c r="B639" s="168"/>
      <c r="C639" s="168"/>
      <c r="D639" s="397"/>
      <c r="E639" s="168"/>
      <c r="F639" s="168"/>
      <c r="G639" s="168"/>
      <c r="H639" s="216"/>
      <c r="I639" s="168"/>
      <c r="J639" s="168"/>
      <c r="K639" s="397"/>
      <c r="L639" s="168"/>
      <c r="M639" s="168"/>
      <c r="N639" s="168"/>
    </row>
    <row r="640" spans="2:14">
      <c r="B640" s="168"/>
      <c r="C640" s="168"/>
      <c r="D640" s="397"/>
      <c r="E640" s="168"/>
      <c r="F640" s="168"/>
      <c r="G640" s="168"/>
      <c r="H640" s="216"/>
      <c r="I640" s="168"/>
      <c r="J640" s="168"/>
      <c r="K640" s="397"/>
      <c r="L640" s="168"/>
      <c r="M640" s="168"/>
      <c r="N640" s="168"/>
    </row>
    <row r="641" spans="2:14">
      <c r="B641" s="168"/>
      <c r="C641" s="168"/>
      <c r="D641" s="397"/>
      <c r="E641" s="168"/>
      <c r="F641" s="168"/>
      <c r="G641" s="168"/>
      <c r="H641" s="216"/>
      <c r="I641" s="168"/>
      <c r="J641" s="168"/>
      <c r="K641" s="397"/>
      <c r="L641" s="168"/>
      <c r="M641" s="168"/>
      <c r="N641" s="168"/>
    </row>
    <row r="642" spans="2:14">
      <c r="B642" s="168"/>
      <c r="C642" s="168"/>
      <c r="D642" s="397"/>
      <c r="E642" s="168"/>
      <c r="F642" s="168"/>
      <c r="G642" s="168"/>
      <c r="H642" s="216"/>
      <c r="I642" s="168"/>
      <c r="J642" s="168"/>
      <c r="K642" s="397"/>
      <c r="L642" s="168"/>
      <c r="M642" s="168"/>
      <c r="N642" s="168"/>
    </row>
    <row r="643" spans="2:14">
      <c r="B643" s="168"/>
      <c r="C643" s="168"/>
      <c r="D643" s="397"/>
      <c r="E643" s="168"/>
      <c r="F643" s="168"/>
      <c r="G643" s="168"/>
      <c r="H643" s="216"/>
      <c r="I643" s="168"/>
      <c r="J643" s="168"/>
      <c r="K643" s="397"/>
      <c r="L643" s="168"/>
      <c r="M643" s="168"/>
      <c r="N643" s="168"/>
    </row>
    <row r="644" spans="2:14">
      <c r="B644" s="168"/>
      <c r="C644" s="168"/>
      <c r="D644" s="397"/>
      <c r="E644" s="168"/>
      <c r="F644" s="168"/>
      <c r="G644" s="168"/>
      <c r="H644" s="216"/>
      <c r="I644" s="168"/>
      <c r="J644" s="168"/>
      <c r="K644" s="397"/>
      <c r="L644" s="168"/>
      <c r="M644" s="168"/>
      <c r="N644" s="168"/>
    </row>
    <row r="645" spans="2:14">
      <c r="B645" s="168"/>
      <c r="C645" s="168"/>
      <c r="D645" s="397"/>
      <c r="E645" s="168"/>
      <c r="F645" s="168"/>
      <c r="G645" s="168"/>
      <c r="H645" s="216"/>
      <c r="I645" s="168"/>
      <c r="J645" s="168"/>
      <c r="K645" s="397"/>
      <c r="L645" s="168"/>
      <c r="M645" s="168"/>
      <c r="N645" s="168"/>
    </row>
    <row r="646" spans="2:14">
      <c r="B646" s="168"/>
      <c r="C646" s="168"/>
      <c r="D646" s="397"/>
      <c r="E646" s="168"/>
      <c r="F646" s="168"/>
      <c r="G646" s="168"/>
      <c r="H646" s="216"/>
      <c r="I646" s="168"/>
      <c r="J646" s="168"/>
      <c r="K646" s="397"/>
      <c r="L646" s="168"/>
      <c r="M646" s="168"/>
      <c r="N646" s="168"/>
    </row>
    <row r="647" spans="2:14">
      <c r="B647" s="168"/>
      <c r="C647" s="168"/>
      <c r="D647" s="397"/>
      <c r="E647" s="168"/>
      <c r="F647" s="168"/>
      <c r="G647" s="168"/>
      <c r="H647" s="216"/>
      <c r="I647" s="168"/>
      <c r="J647" s="168"/>
      <c r="K647" s="397"/>
      <c r="L647" s="168"/>
      <c r="M647" s="168"/>
      <c r="N647" s="168"/>
    </row>
    <row r="648" spans="2:14">
      <c r="B648" s="168"/>
      <c r="C648" s="168"/>
      <c r="D648" s="397"/>
      <c r="E648" s="168"/>
      <c r="F648" s="168"/>
      <c r="G648" s="168"/>
      <c r="H648" s="216"/>
      <c r="I648" s="168"/>
      <c r="J648" s="168"/>
      <c r="K648" s="397"/>
      <c r="L648" s="168"/>
      <c r="M648" s="168"/>
      <c r="N648" s="168"/>
    </row>
    <row r="649" spans="2:14">
      <c r="B649" s="168"/>
      <c r="C649" s="168"/>
      <c r="D649" s="397"/>
      <c r="E649" s="168"/>
      <c r="F649" s="168"/>
      <c r="G649" s="168"/>
      <c r="H649" s="216"/>
      <c r="I649" s="168"/>
      <c r="J649" s="168"/>
      <c r="K649" s="397"/>
      <c r="L649" s="168"/>
      <c r="M649" s="168"/>
      <c r="N649" s="168"/>
    </row>
    <row r="650" spans="2:14">
      <c r="B650" s="168"/>
      <c r="C650" s="168"/>
      <c r="D650" s="397"/>
      <c r="E650" s="168"/>
      <c r="F650" s="168"/>
      <c r="G650" s="168"/>
      <c r="H650" s="216"/>
      <c r="I650" s="168"/>
      <c r="J650" s="168"/>
      <c r="K650" s="397"/>
      <c r="L650" s="168"/>
      <c r="M650" s="168"/>
      <c r="N650" s="168"/>
    </row>
    <row r="651" spans="2:14">
      <c r="B651" s="168"/>
      <c r="C651" s="168"/>
      <c r="D651" s="397"/>
      <c r="E651" s="168"/>
      <c r="F651" s="168"/>
      <c r="G651" s="168"/>
      <c r="H651" s="216"/>
      <c r="I651" s="168"/>
      <c r="J651" s="168"/>
      <c r="K651" s="397"/>
      <c r="L651" s="168"/>
      <c r="M651" s="168"/>
      <c r="N651" s="168"/>
    </row>
    <row r="652" spans="2:14">
      <c r="B652" s="168"/>
      <c r="C652" s="168"/>
      <c r="D652" s="397"/>
      <c r="E652" s="168"/>
      <c r="F652" s="168"/>
      <c r="G652" s="168"/>
      <c r="H652" s="216"/>
      <c r="I652" s="168"/>
      <c r="J652" s="168"/>
      <c r="K652" s="397"/>
      <c r="L652" s="168"/>
      <c r="M652" s="168"/>
      <c r="N652" s="168"/>
    </row>
    <row r="653" spans="2:14">
      <c r="B653" s="168"/>
      <c r="C653" s="168"/>
      <c r="D653" s="397"/>
      <c r="E653" s="168"/>
      <c r="F653" s="168"/>
      <c r="G653" s="168"/>
      <c r="H653" s="216"/>
      <c r="I653" s="168"/>
      <c r="J653" s="168"/>
      <c r="K653" s="397"/>
      <c r="L653" s="168"/>
      <c r="M653" s="168"/>
      <c r="N653" s="168"/>
    </row>
    <row r="654" spans="2:14">
      <c r="B654" s="168"/>
      <c r="C654" s="168"/>
      <c r="D654" s="397"/>
      <c r="E654" s="168"/>
      <c r="F654" s="168"/>
      <c r="G654" s="168"/>
      <c r="H654" s="216"/>
      <c r="I654" s="168"/>
      <c r="J654" s="168"/>
      <c r="K654" s="397"/>
      <c r="L654" s="168"/>
      <c r="M654" s="168"/>
      <c r="N654" s="168"/>
    </row>
    <row r="655" spans="2:14">
      <c r="B655" s="168"/>
      <c r="C655" s="168"/>
      <c r="D655" s="397"/>
      <c r="E655" s="168"/>
      <c r="F655" s="168"/>
      <c r="G655" s="168"/>
      <c r="H655" s="216"/>
      <c r="I655" s="168"/>
      <c r="J655" s="168"/>
      <c r="K655" s="397"/>
      <c r="L655" s="168"/>
      <c r="M655" s="168"/>
      <c r="N655" s="168"/>
    </row>
    <row r="656" spans="2:14">
      <c r="B656" s="168"/>
      <c r="C656" s="168"/>
      <c r="D656" s="397"/>
      <c r="E656" s="168"/>
      <c r="F656" s="168"/>
      <c r="G656" s="168"/>
      <c r="H656" s="216"/>
      <c r="I656" s="168"/>
      <c r="J656" s="168"/>
      <c r="K656" s="397"/>
      <c r="L656" s="168"/>
      <c r="M656" s="168"/>
      <c r="N656" s="168"/>
    </row>
    <row r="657" spans="2:14">
      <c r="B657" s="168"/>
      <c r="C657" s="168"/>
      <c r="D657" s="397"/>
      <c r="E657" s="168"/>
      <c r="F657" s="168"/>
      <c r="G657" s="168"/>
      <c r="H657" s="216"/>
      <c r="I657" s="168"/>
      <c r="J657" s="168"/>
      <c r="K657" s="397"/>
      <c r="L657" s="168"/>
      <c r="M657" s="168"/>
      <c r="N657" s="168"/>
    </row>
    <row r="658" spans="2:14">
      <c r="B658" s="168"/>
      <c r="C658" s="168"/>
      <c r="D658" s="397"/>
      <c r="E658" s="168"/>
      <c r="F658" s="168"/>
      <c r="G658" s="168"/>
      <c r="H658" s="216"/>
      <c r="I658" s="168"/>
      <c r="J658" s="168"/>
      <c r="K658" s="397"/>
      <c r="L658" s="168"/>
      <c r="M658" s="168"/>
      <c r="N658" s="168"/>
    </row>
    <row r="659" spans="2:14">
      <c r="B659" s="168"/>
      <c r="C659" s="168"/>
      <c r="D659" s="397"/>
      <c r="E659" s="168"/>
      <c r="F659" s="168"/>
      <c r="G659" s="168"/>
      <c r="H659" s="216"/>
      <c r="I659" s="168"/>
      <c r="J659" s="168"/>
      <c r="K659" s="397"/>
      <c r="L659" s="168"/>
      <c r="M659" s="168"/>
      <c r="N659" s="168"/>
    </row>
    <row r="660" spans="2:14">
      <c r="B660" s="168"/>
      <c r="C660" s="168"/>
      <c r="D660" s="397"/>
      <c r="E660" s="168"/>
      <c r="F660" s="168"/>
      <c r="G660" s="168"/>
      <c r="H660" s="216"/>
      <c r="I660" s="168"/>
      <c r="J660" s="168"/>
      <c r="K660" s="397"/>
      <c r="L660" s="168"/>
      <c r="M660" s="168"/>
      <c r="N660" s="168"/>
    </row>
    <row r="661" spans="2:14">
      <c r="B661" s="168"/>
      <c r="C661" s="168"/>
      <c r="D661" s="397"/>
      <c r="E661" s="168"/>
      <c r="F661" s="168"/>
      <c r="G661" s="168"/>
      <c r="H661" s="216"/>
      <c r="I661" s="168"/>
      <c r="J661" s="168"/>
      <c r="K661" s="397"/>
      <c r="L661" s="168"/>
      <c r="M661" s="168"/>
      <c r="N661" s="168"/>
    </row>
    <row r="662" spans="2:14">
      <c r="B662" s="168"/>
      <c r="C662" s="168"/>
      <c r="D662" s="397"/>
      <c r="E662" s="168"/>
      <c r="F662" s="168"/>
      <c r="G662" s="168"/>
      <c r="H662" s="216"/>
      <c r="I662" s="168"/>
      <c r="J662" s="168"/>
      <c r="K662" s="397"/>
      <c r="L662" s="168"/>
      <c r="M662" s="168"/>
      <c r="N662" s="168"/>
    </row>
    <row r="663" spans="2:14">
      <c r="B663" s="168"/>
      <c r="C663" s="168"/>
      <c r="D663" s="397"/>
      <c r="E663" s="168"/>
      <c r="F663" s="168"/>
      <c r="G663" s="168"/>
      <c r="H663" s="216"/>
      <c r="I663" s="168"/>
      <c r="J663" s="168"/>
      <c r="K663" s="397"/>
      <c r="L663" s="168"/>
      <c r="M663" s="168"/>
      <c r="N663" s="168"/>
    </row>
    <row r="664" spans="2:14">
      <c r="B664" s="168"/>
      <c r="C664" s="168"/>
      <c r="D664" s="397"/>
      <c r="E664" s="168"/>
      <c r="F664" s="168"/>
      <c r="G664" s="168"/>
      <c r="H664" s="216"/>
      <c r="I664" s="168"/>
      <c r="J664" s="168"/>
      <c r="K664" s="397"/>
      <c r="L664" s="168"/>
      <c r="M664" s="168"/>
      <c r="N664" s="168"/>
    </row>
    <row r="665" spans="2:14">
      <c r="B665" s="168"/>
      <c r="C665" s="168"/>
      <c r="D665" s="397"/>
      <c r="E665" s="168"/>
      <c r="F665" s="168"/>
      <c r="G665" s="168"/>
      <c r="H665" s="216"/>
      <c r="I665" s="168"/>
      <c r="J665" s="168"/>
      <c r="K665" s="397"/>
      <c r="L665" s="168"/>
      <c r="M665" s="168"/>
      <c r="N665" s="168"/>
    </row>
    <row r="666" spans="2:14">
      <c r="B666" s="168"/>
      <c r="C666" s="168"/>
      <c r="D666" s="397"/>
      <c r="E666" s="168"/>
      <c r="F666" s="168"/>
      <c r="G666" s="168"/>
      <c r="H666" s="216"/>
      <c r="I666" s="168"/>
      <c r="J666" s="168"/>
      <c r="K666" s="397"/>
      <c r="L666" s="168"/>
      <c r="M666" s="168"/>
      <c r="N666" s="168"/>
    </row>
    <row r="667" spans="2:14">
      <c r="B667" s="168"/>
      <c r="C667" s="168"/>
      <c r="D667" s="397"/>
      <c r="E667" s="168"/>
      <c r="F667" s="168"/>
      <c r="G667" s="168"/>
      <c r="H667" s="216"/>
      <c r="I667" s="168"/>
      <c r="J667" s="168"/>
      <c r="K667" s="397"/>
      <c r="L667" s="168"/>
      <c r="M667" s="168"/>
      <c r="N667" s="168"/>
    </row>
    <row r="668" spans="2:14">
      <c r="B668" s="168"/>
      <c r="C668" s="168"/>
      <c r="D668" s="397"/>
      <c r="E668" s="168"/>
      <c r="F668" s="168"/>
      <c r="G668" s="168"/>
      <c r="H668" s="216"/>
      <c r="I668" s="168"/>
      <c r="J668" s="168"/>
      <c r="K668" s="397"/>
      <c r="L668" s="168"/>
      <c r="M668" s="168"/>
      <c r="N668" s="168"/>
    </row>
    <row r="669" spans="2:14">
      <c r="B669" s="168"/>
      <c r="C669" s="168"/>
      <c r="D669" s="397"/>
      <c r="E669" s="168"/>
      <c r="F669" s="168"/>
      <c r="G669" s="168"/>
      <c r="H669" s="216"/>
      <c r="I669" s="168"/>
      <c r="J669" s="168"/>
      <c r="K669" s="397"/>
      <c r="L669" s="168"/>
      <c r="M669" s="168"/>
      <c r="N669" s="168"/>
    </row>
    <row r="670" spans="2:14">
      <c r="B670" s="168"/>
      <c r="C670" s="168"/>
      <c r="D670" s="397"/>
      <c r="E670" s="168"/>
      <c r="F670" s="168"/>
      <c r="G670" s="168"/>
      <c r="H670" s="216"/>
      <c r="I670" s="168"/>
      <c r="J670" s="168"/>
      <c r="K670" s="397"/>
      <c r="L670" s="168"/>
      <c r="M670" s="168"/>
      <c r="N670" s="168"/>
    </row>
    <row r="671" spans="2:14">
      <c r="B671" s="168"/>
      <c r="C671" s="168"/>
      <c r="D671" s="397"/>
      <c r="E671" s="168"/>
      <c r="F671" s="168"/>
      <c r="G671" s="168"/>
      <c r="H671" s="216"/>
      <c r="I671" s="168"/>
      <c r="J671" s="168"/>
      <c r="K671" s="397"/>
      <c r="L671" s="168"/>
      <c r="M671" s="168"/>
      <c r="N671" s="168"/>
    </row>
    <row r="672" spans="2:14">
      <c r="B672" s="168"/>
      <c r="C672" s="168"/>
      <c r="D672" s="397"/>
      <c r="E672" s="168"/>
      <c r="F672" s="168"/>
      <c r="G672" s="168"/>
      <c r="H672" s="216"/>
      <c r="I672" s="168"/>
      <c r="J672" s="168"/>
      <c r="K672" s="397"/>
      <c r="L672" s="168"/>
      <c r="M672" s="168"/>
      <c r="N672" s="168"/>
    </row>
    <row r="673" spans="2:14">
      <c r="B673" s="168"/>
      <c r="C673" s="168"/>
      <c r="D673" s="397"/>
      <c r="E673" s="168"/>
      <c r="F673" s="168"/>
      <c r="G673" s="168"/>
      <c r="H673" s="216"/>
      <c r="I673" s="168"/>
      <c r="J673" s="168"/>
      <c r="K673" s="397"/>
      <c r="L673" s="168"/>
      <c r="M673" s="168"/>
      <c r="N673" s="168"/>
    </row>
    <row r="674" spans="2:14">
      <c r="B674" s="168"/>
      <c r="C674" s="168"/>
      <c r="D674" s="397"/>
      <c r="E674" s="168"/>
      <c r="F674" s="168"/>
      <c r="G674" s="168"/>
      <c r="H674" s="216"/>
      <c r="I674" s="168"/>
      <c r="J674" s="168"/>
      <c r="K674" s="397"/>
      <c r="L674" s="168"/>
      <c r="M674" s="168"/>
      <c r="N674" s="168"/>
    </row>
    <row r="675" spans="2:14">
      <c r="B675" s="168"/>
      <c r="C675" s="168"/>
      <c r="D675" s="397"/>
      <c r="E675" s="168"/>
      <c r="F675" s="168"/>
      <c r="G675" s="168"/>
      <c r="H675" s="216"/>
      <c r="I675" s="168"/>
      <c r="J675" s="168"/>
      <c r="K675" s="397"/>
      <c r="L675" s="168"/>
      <c r="M675" s="168"/>
      <c r="N675" s="168"/>
    </row>
    <row r="676" spans="2:14">
      <c r="B676" s="168"/>
      <c r="C676" s="168"/>
      <c r="D676" s="397"/>
      <c r="E676" s="168"/>
      <c r="F676" s="168"/>
      <c r="G676" s="168"/>
      <c r="H676" s="216"/>
      <c r="I676" s="168"/>
      <c r="J676" s="168"/>
      <c r="K676" s="397"/>
      <c r="L676" s="168"/>
      <c r="M676" s="168"/>
      <c r="N676" s="168"/>
    </row>
    <row r="677" spans="2:14">
      <c r="B677" s="168"/>
      <c r="C677" s="168"/>
      <c r="D677" s="397"/>
      <c r="E677" s="168"/>
      <c r="F677" s="168"/>
      <c r="G677" s="168"/>
      <c r="H677" s="216"/>
      <c r="I677" s="168"/>
      <c r="J677" s="168"/>
      <c r="K677" s="397"/>
      <c r="L677" s="168"/>
      <c r="M677" s="168"/>
      <c r="N677" s="168"/>
    </row>
    <row r="678" spans="2:14">
      <c r="B678" s="168"/>
      <c r="C678" s="168"/>
      <c r="D678" s="397"/>
      <c r="E678" s="168"/>
      <c r="F678" s="168"/>
      <c r="G678" s="168"/>
      <c r="H678" s="216"/>
      <c r="I678" s="168"/>
      <c r="J678" s="168"/>
      <c r="K678" s="397"/>
      <c r="L678" s="168"/>
      <c r="M678" s="168"/>
      <c r="N678" s="168"/>
    </row>
    <row r="679" spans="2:14">
      <c r="B679" s="168"/>
      <c r="C679" s="168"/>
      <c r="D679" s="397"/>
      <c r="E679" s="168"/>
      <c r="F679" s="168"/>
      <c r="G679" s="168"/>
      <c r="H679" s="216"/>
      <c r="I679" s="168"/>
      <c r="J679" s="168"/>
      <c r="K679" s="397"/>
      <c r="L679" s="168"/>
      <c r="M679" s="168"/>
      <c r="N679" s="168"/>
    </row>
    <row r="680" spans="2:14">
      <c r="B680" s="168"/>
      <c r="C680" s="168"/>
      <c r="D680" s="397"/>
      <c r="E680" s="168"/>
      <c r="F680" s="168"/>
      <c r="G680" s="168"/>
      <c r="H680" s="216"/>
      <c r="I680" s="168"/>
      <c r="J680" s="168"/>
      <c r="K680" s="397"/>
      <c r="L680" s="168"/>
      <c r="M680" s="168"/>
      <c r="N680" s="168"/>
    </row>
    <row r="681" spans="2:14">
      <c r="B681" s="168"/>
      <c r="C681" s="168"/>
      <c r="D681" s="397"/>
      <c r="E681" s="168"/>
      <c r="F681" s="168"/>
      <c r="G681" s="168"/>
      <c r="H681" s="216"/>
      <c r="I681" s="168"/>
      <c r="J681" s="168"/>
      <c r="K681" s="397"/>
      <c r="L681" s="168"/>
      <c r="M681" s="168"/>
      <c r="N681" s="168"/>
    </row>
    <row r="682" spans="2:14">
      <c r="B682" s="168"/>
      <c r="C682" s="168"/>
      <c r="D682" s="397"/>
      <c r="E682" s="168"/>
      <c r="F682" s="168"/>
      <c r="G682" s="168"/>
      <c r="H682" s="216"/>
      <c r="I682" s="168"/>
      <c r="J682" s="168"/>
      <c r="K682" s="397"/>
      <c r="L682" s="168"/>
      <c r="M682" s="168"/>
      <c r="N682" s="168"/>
    </row>
    <row r="683" spans="2:14">
      <c r="B683" s="168"/>
      <c r="C683" s="168"/>
      <c r="D683" s="397"/>
      <c r="E683" s="168"/>
      <c r="F683" s="168"/>
      <c r="G683" s="168"/>
      <c r="H683" s="216"/>
      <c r="I683" s="168"/>
      <c r="J683" s="168"/>
      <c r="K683" s="397"/>
      <c r="L683" s="168"/>
      <c r="M683" s="168"/>
      <c r="N683" s="168"/>
    </row>
    <row r="684" spans="2:14">
      <c r="B684" s="168"/>
      <c r="C684" s="168"/>
      <c r="D684" s="397"/>
      <c r="E684" s="168"/>
      <c r="F684" s="168"/>
      <c r="G684" s="168"/>
      <c r="H684" s="216"/>
      <c r="I684" s="168"/>
      <c r="J684" s="168"/>
      <c r="K684" s="397"/>
      <c r="L684" s="168"/>
      <c r="M684" s="168"/>
      <c r="N684" s="168"/>
    </row>
    <row r="685" spans="2:14">
      <c r="B685" s="168"/>
      <c r="C685" s="168"/>
      <c r="D685" s="397"/>
      <c r="E685" s="168"/>
      <c r="F685" s="168"/>
      <c r="G685" s="168"/>
      <c r="H685" s="216"/>
      <c r="I685" s="168"/>
      <c r="J685" s="168"/>
      <c r="K685" s="397"/>
      <c r="L685" s="168"/>
      <c r="M685" s="168"/>
      <c r="N685" s="168"/>
    </row>
  </sheetData>
  <autoFilter ref="B3:N503"/>
  <mergeCells count="1">
    <mergeCell ref="B1:L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1"/>
  <sheetViews>
    <sheetView zoomScale="90" zoomScaleNormal="90" workbookViewId="0">
      <pane ySplit="3" topLeftCell="A39" activePane="bottomLeft" state="frozen"/>
      <selection pane="bottomLeft" activeCell="B37" sqref="B37"/>
    </sheetView>
  </sheetViews>
  <sheetFormatPr defaultRowHeight="15"/>
  <cols>
    <col min="1" max="1" width="9.7109375" bestFit="1" customWidth="1"/>
    <col min="2" max="2" width="23.7109375" bestFit="1" customWidth="1"/>
    <col min="3" max="3" width="15.140625" customWidth="1"/>
    <col min="4" max="4" width="9.42578125" style="24" customWidth="1"/>
    <col min="5" max="5" width="18.5703125" customWidth="1"/>
    <col min="6" max="6" width="14" customWidth="1"/>
    <col min="7" max="7" width="11" style="79" customWidth="1"/>
    <col min="8" max="8" width="11.28515625" customWidth="1"/>
    <col min="10" max="10" width="12.42578125" customWidth="1"/>
    <col min="11" max="11" width="13.85546875" bestFit="1" customWidth="1"/>
    <col min="12" max="12" width="10.7109375" customWidth="1"/>
    <col min="13" max="13" width="27.42578125" customWidth="1"/>
    <col min="14" max="14" width="12.5703125" bestFit="1" customWidth="1"/>
    <col min="15" max="15" width="13.140625" bestFit="1" customWidth="1"/>
    <col min="16" max="16" width="13.140625" style="44" bestFit="1" customWidth="1"/>
    <col min="17" max="17" width="12.140625" style="44" customWidth="1"/>
    <col min="18" max="18" width="11.5703125" style="44" bestFit="1" customWidth="1"/>
    <col min="19" max="19" width="10.5703125" bestFit="1" customWidth="1"/>
  </cols>
  <sheetData>
    <row r="1" spans="1:21" ht="24" thickBot="1">
      <c r="B1" s="514" t="s">
        <v>25</v>
      </c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6"/>
      <c r="N1" s="49"/>
    </row>
    <row r="3" spans="1:21">
      <c r="B3" s="47" t="s">
        <v>19</v>
      </c>
      <c r="C3" s="47" t="s">
        <v>28</v>
      </c>
      <c r="D3" s="48" t="s">
        <v>20</v>
      </c>
      <c r="E3" s="47" t="s">
        <v>21</v>
      </c>
      <c r="F3" s="47" t="s">
        <v>23</v>
      </c>
      <c r="G3" s="106" t="s">
        <v>0</v>
      </c>
      <c r="H3" s="47" t="s">
        <v>24</v>
      </c>
      <c r="I3" s="47" t="s">
        <v>27</v>
      </c>
      <c r="J3" s="47" t="s">
        <v>226</v>
      </c>
      <c r="K3" s="47" t="s">
        <v>75</v>
      </c>
      <c r="L3" s="47" t="s">
        <v>2</v>
      </c>
      <c r="M3" s="47" t="s">
        <v>6</v>
      </c>
      <c r="N3" s="37" t="s">
        <v>96</v>
      </c>
      <c r="O3" s="37" t="s">
        <v>38</v>
      </c>
      <c r="T3" s="35"/>
      <c r="U3" t="s">
        <v>74</v>
      </c>
    </row>
    <row r="4" spans="1:21">
      <c r="B4" s="31" t="s">
        <v>36</v>
      </c>
      <c r="C4" s="31" t="s">
        <v>31</v>
      </c>
      <c r="D4" s="32">
        <v>91</v>
      </c>
      <c r="E4" s="31" t="s">
        <v>33</v>
      </c>
      <c r="F4" s="31"/>
      <c r="G4" s="107">
        <v>45849</v>
      </c>
      <c r="H4" s="33">
        <v>45860</v>
      </c>
      <c r="I4" s="34">
        <f t="shared" ref="I4:I5" si="0">H4-G4</f>
        <v>11</v>
      </c>
      <c r="J4" s="34" t="e">
        <f>#REF!-G4</f>
        <v>#REF!</v>
      </c>
      <c r="K4" s="105" t="s">
        <v>66</v>
      </c>
      <c r="L4" s="31">
        <v>74773</v>
      </c>
      <c r="M4" s="31" t="s">
        <v>74</v>
      </c>
      <c r="N4" s="31">
        <v>72520</v>
      </c>
      <c r="O4" s="112">
        <v>2253</v>
      </c>
      <c r="P4" s="129" t="s">
        <v>67</v>
      </c>
      <c r="Q4" s="129"/>
    </row>
    <row r="5" spans="1:21">
      <c r="A5" s="135">
        <f ca="1">+TODAY()</f>
        <v>45990</v>
      </c>
      <c r="B5" s="45" t="s">
        <v>41</v>
      </c>
      <c r="C5" s="45" t="s">
        <v>31</v>
      </c>
      <c r="D5" s="46" t="s">
        <v>40</v>
      </c>
      <c r="E5" s="45" t="s">
        <v>33</v>
      </c>
      <c r="F5" s="45"/>
      <c r="G5" s="107">
        <v>45850</v>
      </c>
      <c r="H5" s="43">
        <v>45857</v>
      </c>
      <c r="I5" s="54">
        <f t="shared" si="0"/>
        <v>7</v>
      </c>
      <c r="J5" s="34" t="e">
        <f>#REF!-G5</f>
        <v>#REF!</v>
      </c>
      <c r="K5" s="105"/>
      <c r="L5" s="126">
        <v>612095</v>
      </c>
      <c r="M5" s="45" t="s">
        <v>74</v>
      </c>
      <c r="N5" s="42">
        <v>581490</v>
      </c>
      <c r="O5" s="112">
        <v>30605</v>
      </c>
      <c r="P5" s="125" t="s">
        <v>95</v>
      </c>
      <c r="Q5" s="125" t="s">
        <v>67</v>
      </c>
      <c r="R5" s="44" t="s">
        <v>91</v>
      </c>
      <c r="S5" s="44" t="s">
        <v>92</v>
      </c>
    </row>
    <row r="6" spans="1:21">
      <c r="B6" s="31" t="s">
        <v>47</v>
      </c>
      <c r="C6" s="31" t="s">
        <v>31</v>
      </c>
      <c r="D6" s="32" t="s">
        <v>42</v>
      </c>
      <c r="E6" s="31" t="s">
        <v>33</v>
      </c>
      <c r="F6" s="31"/>
      <c r="G6" s="107">
        <v>45850</v>
      </c>
      <c r="H6" s="33"/>
      <c r="I6" s="34"/>
      <c r="J6" s="34" t="e">
        <f>#REF!-G6</f>
        <v>#REF!</v>
      </c>
      <c r="K6" s="105" t="s">
        <v>76</v>
      </c>
      <c r="L6" s="31">
        <v>9693</v>
      </c>
      <c r="M6" s="31" t="s">
        <v>74</v>
      </c>
      <c r="N6" s="31">
        <v>8403</v>
      </c>
      <c r="O6" s="112">
        <v>1290</v>
      </c>
      <c r="P6" s="129" t="s">
        <v>67</v>
      </c>
      <c r="Q6" s="129"/>
    </row>
    <row r="7" spans="1:21">
      <c r="B7" s="31" t="s">
        <v>103</v>
      </c>
      <c r="C7" s="31" t="s">
        <v>31</v>
      </c>
      <c r="D7" s="32" t="s">
        <v>104</v>
      </c>
      <c r="E7" s="31"/>
      <c r="F7" s="31"/>
      <c r="G7" s="107">
        <v>45850</v>
      </c>
      <c r="H7" s="31"/>
      <c r="I7" s="34"/>
      <c r="J7" s="34" t="e">
        <f>#REF!-G7</f>
        <v>#REF!</v>
      </c>
      <c r="K7" s="105" t="s">
        <v>87</v>
      </c>
      <c r="L7" s="64">
        <v>300653</v>
      </c>
      <c r="M7" s="31" t="s">
        <v>74</v>
      </c>
      <c r="N7" s="64">
        <f>200000+85620</f>
        <v>285620</v>
      </c>
      <c r="O7" s="113">
        <v>15033</v>
      </c>
      <c r="P7" s="124">
        <f>+O7/L7</f>
        <v>5.0001164132737738E-2</v>
      </c>
      <c r="Q7" s="129" t="s">
        <v>142</v>
      </c>
    </row>
    <row r="8" spans="1:21">
      <c r="B8" s="31" t="s">
        <v>81</v>
      </c>
      <c r="C8" s="31" t="s">
        <v>31</v>
      </c>
      <c r="D8" s="32" t="s">
        <v>82</v>
      </c>
      <c r="E8" s="31" t="s">
        <v>78</v>
      </c>
      <c r="F8" s="31"/>
      <c r="G8" s="107">
        <v>45855</v>
      </c>
      <c r="H8" s="62">
        <v>45865</v>
      </c>
      <c r="I8" s="34"/>
      <c r="J8" s="34" t="e">
        <f>#REF!-G8</f>
        <v>#REF!</v>
      </c>
      <c r="K8" s="105"/>
      <c r="L8" s="31">
        <v>9982</v>
      </c>
      <c r="M8" s="45" t="s">
        <v>74</v>
      </c>
      <c r="N8" s="31">
        <v>9782</v>
      </c>
      <c r="O8" s="112">
        <v>200</v>
      </c>
      <c r="P8" s="129" t="s">
        <v>127</v>
      </c>
      <c r="Q8" s="129"/>
    </row>
    <row r="9" spans="1:21">
      <c r="B9" s="31" t="s">
        <v>41</v>
      </c>
      <c r="C9" s="31" t="s">
        <v>31</v>
      </c>
      <c r="D9" s="32" t="s">
        <v>94</v>
      </c>
      <c r="E9" s="31" t="s">
        <v>26</v>
      </c>
      <c r="F9" s="31"/>
      <c r="G9" s="107">
        <v>45857</v>
      </c>
      <c r="H9" s="63">
        <v>45755</v>
      </c>
      <c r="I9" s="34">
        <f t="shared" ref="I9" si="1">H9-G9</f>
        <v>-102</v>
      </c>
      <c r="J9" s="34" t="e">
        <f>#REF!-G9</f>
        <v>#REF!</v>
      </c>
      <c r="K9" s="105" t="s">
        <v>105</v>
      </c>
      <c r="L9" s="64">
        <v>477432</v>
      </c>
      <c r="M9" s="31" t="s">
        <v>324</v>
      </c>
      <c r="N9" s="64">
        <v>28500</v>
      </c>
      <c r="O9" s="64">
        <v>24022</v>
      </c>
      <c r="Q9" s="130"/>
    </row>
    <row r="10" spans="1:21">
      <c r="B10" s="31" t="s">
        <v>108</v>
      </c>
      <c r="C10" s="31" t="s">
        <v>31</v>
      </c>
      <c r="D10" s="32" t="s">
        <v>112</v>
      </c>
      <c r="E10" s="31" t="s">
        <v>49</v>
      </c>
      <c r="F10" s="31"/>
      <c r="G10" s="107">
        <v>45859</v>
      </c>
      <c r="H10" s="33">
        <v>45867</v>
      </c>
      <c r="I10" s="34">
        <v>45665</v>
      </c>
      <c r="J10" s="34" t="e">
        <f>#REF!-G10</f>
        <v>#REF!</v>
      </c>
      <c r="K10" s="45" t="s">
        <v>171</v>
      </c>
      <c r="L10" s="64">
        <v>338896</v>
      </c>
      <c r="M10" s="45" t="s">
        <v>170</v>
      </c>
      <c r="N10" s="64">
        <v>321951</v>
      </c>
      <c r="O10" s="64">
        <v>16945</v>
      </c>
      <c r="P10" s="114">
        <v>0.05</v>
      </c>
      <c r="Q10" s="131" t="s">
        <v>142</v>
      </c>
    </row>
    <row r="11" spans="1:21">
      <c r="B11" s="31" t="s">
        <v>110</v>
      </c>
      <c r="C11" s="31" t="s">
        <v>31</v>
      </c>
      <c r="D11" s="32" t="s">
        <v>111</v>
      </c>
      <c r="E11" s="31" t="s">
        <v>49</v>
      </c>
      <c r="F11" s="31"/>
      <c r="G11" s="107">
        <v>45859</v>
      </c>
      <c r="H11" s="33">
        <v>45867</v>
      </c>
      <c r="I11" s="34"/>
      <c r="J11" s="34" t="e">
        <f>#REF!-G11</f>
        <v>#REF!</v>
      </c>
      <c r="K11" s="45"/>
      <c r="L11" s="64">
        <v>11413</v>
      </c>
      <c r="M11" s="31" t="s">
        <v>74</v>
      </c>
      <c r="N11" s="31">
        <v>10900</v>
      </c>
      <c r="O11" s="31">
        <v>514</v>
      </c>
      <c r="P11" s="131" t="s">
        <v>165</v>
      </c>
      <c r="Q11" s="131"/>
    </row>
    <row r="12" spans="1:21">
      <c r="B12" s="31" t="s">
        <v>34</v>
      </c>
      <c r="C12" s="31" t="s">
        <v>31</v>
      </c>
      <c r="D12" s="32" t="s">
        <v>180</v>
      </c>
      <c r="E12" s="31" t="s">
        <v>128</v>
      </c>
      <c r="F12" s="31"/>
      <c r="G12" s="107">
        <v>45862</v>
      </c>
      <c r="H12" s="33"/>
      <c r="I12" s="34"/>
      <c r="J12" s="34" t="e">
        <f>#REF!-G12</f>
        <v>#REF!</v>
      </c>
      <c r="K12" s="45" t="s">
        <v>189</v>
      </c>
      <c r="L12" s="64">
        <v>18646</v>
      </c>
      <c r="M12" s="31" t="s">
        <v>74</v>
      </c>
      <c r="N12" s="31">
        <v>18645</v>
      </c>
      <c r="O12" s="31">
        <v>381</v>
      </c>
      <c r="P12" s="132" t="s">
        <v>186</v>
      </c>
      <c r="Q12" s="131"/>
    </row>
    <row r="13" spans="1:21">
      <c r="B13" s="31" t="s">
        <v>37</v>
      </c>
      <c r="C13" s="31" t="s">
        <v>31</v>
      </c>
      <c r="D13" s="32" t="s">
        <v>148</v>
      </c>
      <c r="E13" s="31" t="s">
        <v>128</v>
      </c>
      <c r="F13" s="31"/>
      <c r="G13" s="107">
        <v>45863</v>
      </c>
      <c r="H13" s="33">
        <v>45874</v>
      </c>
      <c r="I13" s="34">
        <f t="shared" ref="I13" si="2">H13-G13</f>
        <v>11</v>
      </c>
      <c r="J13" s="34" t="e">
        <f>#REF!-G13</f>
        <v>#REF!</v>
      </c>
      <c r="K13" s="103" t="s">
        <v>268</v>
      </c>
      <c r="L13" s="64">
        <v>123757</v>
      </c>
      <c r="M13" s="31" t="s">
        <v>239</v>
      </c>
      <c r="N13" s="64" t="s">
        <v>266</v>
      </c>
      <c r="O13" s="64">
        <v>9865</v>
      </c>
      <c r="P13" s="131" t="s">
        <v>267</v>
      </c>
      <c r="Q13" s="131"/>
    </row>
    <row r="14" spans="1:21">
      <c r="B14" s="31" t="s">
        <v>155</v>
      </c>
      <c r="C14" s="31" t="s">
        <v>31</v>
      </c>
      <c r="D14" s="32" t="s">
        <v>158</v>
      </c>
      <c r="E14" s="31" t="s">
        <v>128</v>
      </c>
      <c r="F14" s="31"/>
      <c r="G14" s="107">
        <v>45864</v>
      </c>
      <c r="H14" s="33">
        <v>45875</v>
      </c>
      <c r="I14" s="34">
        <f t="shared" ref="I14:I15" si="3">H14-G14</f>
        <v>11</v>
      </c>
      <c r="J14" s="34" t="e">
        <f>#REF!-G14</f>
        <v>#REF!</v>
      </c>
      <c r="K14" s="45"/>
      <c r="L14" s="64">
        <v>304432</v>
      </c>
      <c r="M14" s="31" t="s">
        <v>74</v>
      </c>
      <c r="N14" s="31"/>
      <c r="O14" s="112">
        <v>15222</v>
      </c>
      <c r="P14" s="129" t="s">
        <v>229</v>
      </c>
      <c r="Q14" s="129" t="s">
        <v>230</v>
      </c>
    </row>
    <row r="15" spans="1:21">
      <c r="B15" s="82" t="s">
        <v>156</v>
      </c>
      <c r="C15" s="82" t="s">
        <v>31</v>
      </c>
      <c r="D15" s="89" t="s">
        <v>159</v>
      </c>
      <c r="E15" s="82" t="s">
        <v>128</v>
      </c>
      <c r="F15" s="82"/>
      <c r="G15" s="102">
        <v>45864</v>
      </c>
      <c r="H15" s="84">
        <v>45875</v>
      </c>
      <c r="I15" s="90">
        <f t="shared" si="3"/>
        <v>11</v>
      </c>
      <c r="J15" s="90" t="e">
        <f>#REF!-G15</f>
        <v>#REF!</v>
      </c>
      <c r="K15" s="83"/>
      <c r="L15" s="85">
        <v>528037</v>
      </c>
      <c r="M15" s="82" t="s">
        <v>204</v>
      </c>
      <c r="N15" s="85">
        <f>301305+200330+10561+15841</f>
        <v>528037</v>
      </c>
      <c r="O15" s="123">
        <f>+N15-L15</f>
        <v>0</v>
      </c>
      <c r="P15" s="129" t="s">
        <v>200</v>
      </c>
      <c r="Q15" s="129" t="s">
        <v>199</v>
      </c>
      <c r="R15" s="44">
        <v>200330</v>
      </c>
    </row>
    <row r="16" spans="1:21">
      <c r="B16" s="31" t="s">
        <v>187</v>
      </c>
      <c r="C16" s="31" t="s">
        <v>31</v>
      </c>
      <c r="D16" s="45">
        <v>950</v>
      </c>
      <c r="E16" s="31" t="s">
        <v>128</v>
      </c>
      <c r="F16" s="31"/>
      <c r="G16" s="107">
        <v>45869</v>
      </c>
      <c r="H16" s="33">
        <v>45873</v>
      </c>
      <c r="I16" s="34">
        <f t="shared" ref="I16:I17" si="4">H16-G16</f>
        <v>4</v>
      </c>
      <c r="J16" s="34" t="e">
        <f>#REF!-G16</f>
        <v>#REF!</v>
      </c>
      <c r="K16" s="103">
        <v>45846</v>
      </c>
      <c r="L16" s="92">
        <v>57743</v>
      </c>
      <c r="M16" s="31" t="s">
        <v>210</v>
      </c>
      <c r="N16" s="31">
        <f>53320+959</f>
        <v>54279</v>
      </c>
      <c r="O16" s="94">
        <f>+L16-1732-N16</f>
        <v>1732</v>
      </c>
      <c r="P16" s="131" t="s">
        <v>209</v>
      </c>
      <c r="Q16" s="131"/>
    </row>
    <row r="17" spans="2:17">
      <c r="B17" s="149" t="s">
        <v>188</v>
      </c>
      <c r="C17" s="11" t="s">
        <v>31</v>
      </c>
      <c r="D17" s="78">
        <v>1000</v>
      </c>
      <c r="E17" s="11" t="s">
        <v>128</v>
      </c>
      <c r="F17" s="11"/>
      <c r="G17" s="109">
        <v>45869</v>
      </c>
      <c r="H17" s="60">
        <v>45873</v>
      </c>
      <c r="I17" s="68">
        <f t="shared" si="4"/>
        <v>4</v>
      </c>
      <c r="J17" s="91" t="e">
        <f>#REF!-G17</f>
        <v>#REF!</v>
      </c>
      <c r="K17" s="78"/>
      <c r="L17" s="96">
        <v>61009</v>
      </c>
      <c r="M17" s="11"/>
      <c r="N17" s="11"/>
      <c r="O17" s="11"/>
      <c r="P17" s="131"/>
      <c r="Q17" s="131"/>
    </row>
    <row r="18" spans="2:17">
      <c r="B18" s="31" t="s">
        <v>190</v>
      </c>
      <c r="C18" s="31" t="s">
        <v>31</v>
      </c>
      <c r="D18" s="45">
        <v>980</v>
      </c>
      <c r="E18" s="31" t="s">
        <v>128</v>
      </c>
      <c r="F18" s="31"/>
      <c r="G18" s="107">
        <v>45869</v>
      </c>
      <c r="H18" s="31"/>
      <c r="I18" s="31"/>
      <c r="J18" s="34" t="e">
        <f>#REF!-G18</f>
        <v>#REF!</v>
      </c>
      <c r="K18" s="45"/>
      <c r="L18" s="31">
        <v>41171</v>
      </c>
      <c r="M18" s="31" t="s">
        <v>74</v>
      </c>
      <c r="N18" s="64">
        <v>39113</v>
      </c>
      <c r="O18" s="31">
        <f>1235+823</f>
        <v>2058</v>
      </c>
      <c r="P18" s="131" t="s">
        <v>193</v>
      </c>
      <c r="Q18" s="129" t="s">
        <v>192</v>
      </c>
    </row>
    <row r="19" spans="2:17">
      <c r="B19" s="31" t="s">
        <v>194</v>
      </c>
      <c r="C19" s="31" t="s">
        <v>31</v>
      </c>
      <c r="D19" s="32" t="s">
        <v>196</v>
      </c>
      <c r="E19" s="31" t="s">
        <v>128</v>
      </c>
      <c r="F19" s="92"/>
      <c r="G19" s="107">
        <v>45870</v>
      </c>
      <c r="H19" s="33">
        <v>45873</v>
      </c>
      <c r="I19" s="34">
        <f t="shared" ref="I19:I20" si="5">H19-G19</f>
        <v>3</v>
      </c>
      <c r="J19" s="34" t="e">
        <f>#REF!-G19</f>
        <v>#REF!</v>
      </c>
      <c r="K19" s="45"/>
      <c r="L19" s="92">
        <v>32113</v>
      </c>
      <c r="M19" s="31" t="s">
        <v>74</v>
      </c>
      <c r="N19" s="64">
        <v>30186</v>
      </c>
      <c r="O19" s="31"/>
      <c r="P19" s="131" t="s">
        <v>227</v>
      </c>
      <c r="Q19" s="131"/>
    </row>
    <row r="20" spans="2:17">
      <c r="B20" s="149" t="s">
        <v>43</v>
      </c>
      <c r="C20" s="11" t="s">
        <v>31</v>
      </c>
      <c r="D20" s="23" t="s">
        <v>198</v>
      </c>
      <c r="E20" s="11" t="s">
        <v>128</v>
      </c>
      <c r="F20" s="11"/>
      <c r="G20" s="110">
        <v>45871</v>
      </c>
      <c r="H20" s="60">
        <v>45873</v>
      </c>
      <c r="I20" s="68">
        <f t="shared" si="5"/>
        <v>2</v>
      </c>
      <c r="J20" s="91" t="e">
        <f>#REF!-G20</f>
        <v>#REF!</v>
      </c>
      <c r="K20" s="78"/>
      <c r="L20" s="95">
        <v>53193</v>
      </c>
      <c r="M20" s="11"/>
      <c r="N20" s="11"/>
      <c r="O20" s="148">
        <v>2800</v>
      </c>
      <c r="P20" s="131" t="s">
        <v>197</v>
      </c>
      <c r="Q20" s="131"/>
    </row>
    <row r="21" spans="2:17">
      <c r="B21" s="149" t="s">
        <v>211</v>
      </c>
      <c r="C21" s="11" t="s">
        <v>31</v>
      </c>
      <c r="D21" s="23" t="s">
        <v>215</v>
      </c>
      <c r="E21" s="11" t="s">
        <v>128</v>
      </c>
      <c r="F21" s="11"/>
      <c r="G21" s="109">
        <v>45876</v>
      </c>
      <c r="H21" s="60">
        <v>45887</v>
      </c>
      <c r="I21" s="68">
        <f t="shared" ref="I21:I24" si="6">H21-G21</f>
        <v>11</v>
      </c>
      <c r="J21" s="91" t="e">
        <f>#REF!-G21</f>
        <v>#REF!</v>
      </c>
      <c r="K21" s="104"/>
      <c r="L21" s="95">
        <v>326102</v>
      </c>
      <c r="M21" s="11"/>
      <c r="N21" s="11"/>
      <c r="O21" s="11"/>
    </row>
    <row r="22" spans="2:17">
      <c r="B22" s="149" t="s">
        <v>212</v>
      </c>
      <c r="C22" s="11" t="s">
        <v>31</v>
      </c>
      <c r="D22" s="23" t="s">
        <v>216</v>
      </c>
      <c r="E22" s="11" t="s">
        <v>128</v>
      </c>
      <c r="F22" s="11"/>
      <c r="G22" s="109">
        <v>45876</v>
      </c>
      <c r="H22" s="60">
        <v>45887</v>
      </c>
      <c r="I22" s="68">
        <f>H22-G22</f>
        <v>11</v>
      </c>
      <c r="J22" s="91" t="e">
        <f>#REF!-G22</f>
        <v>#REF!</v>
      </c>
      <c r="K22" s="104"/>
      <c r="L22" s="95">
        <v>54364</v>
      </c>
      <c r="M22" s="11"/>
      <c r="N22" s="11"/>
      <c r="O22" s="11"/>
    </row>
    <row r="23" spans="2:17">
      <c r="B23" s="149" t="s">
        <v>213</v>
      </c>
      <c r="C23" s="11" t="s">
        <v>31</v>
      </c>
      <c r="D23" s="23" t="s">
        <v>217</v>
      </c>
      <c r="E23" s="11" t="s">
        <v>128</v>
      </c>
      <c r="F23" s="11"/>
      <c r="G23" s="109">
        <v>45876</v>
      </c>
      <c r="H23" s="60">
        <v>45887</v>
      </c>
      <c r="I23" s="68">
        <f t="shared" si="6"/>
        <v>11</v>
      </c>
      <c r="J23" s="91" t="e">
        <f>#REF!-G23</f>
        <v>#REF!</v>
      </c>
      <c r="K23" s="104"/>
      <c r="L23" s="95">
        <v>43664</v>
      </c>
      <c r="M23" s="11"/>
      <c r="N23" s="11"/>
      <c r="O23" s="11"/>
    </row>
    <row r="24" spans="2:17">
      <c r="B24" s="149" t="s">
        <v>214</v>
      </c>
      <c r="C24" s="11" t="s">
        <v>31</v>
      </c>
      <c r="D24" s="23" t="s">
        <v>218</v>
      </c>
      <c r="E24" s="11" t="s">
        <v>128</v>
      </c>
      <c r="F24" s="11"/>
      <c r="G24" s="109">
        <v>45876</v>
      </c>
      <c r="H24" s="60">
        <v>45887</v>
      </c>
      <c r="I24" s="68">
        <f t="shared" si="6"/>
        <v>11</v>
      </c>
      <c r="J24" s="91" t="e">
        <f>#REF!-G24</f>
        <v>#REF!</v>
      </c>
      <c r="K24" s="104"/>
      <c r="L24" s="95">
        <v>162304</v>
      </c>
      <c r="M24" s="11"/>
      <c r="N24" s="11"/>
      <c r="O24" s="11"/>
    </row>
    <row r="25" spans="2:17">
      <c r="B25" s="31" t="s">
        <v>221</v>
      </c>
      <c r="C25" s="31" t="s">
        <v>31</v>
      </c>
      <c r="D25" s="32" t="s">
        <v>225</v>
      </c>
      <c r="E25" s="31" t="s">
        <v>128</v>
      </c>
      <c r="F25" s="31"/>
      <c r="G25" s="107">
        <v>45877</v>
      </c>
      <c r="H25" s="33">
        <v>45890</v>
      </c>
      <c r="I25" s="34">
        <f t="shared" ref="I25:I65" si="7">H25-G25</f>
        <v>13</v>
      </c>
      <c r="J25" s="34" t="e">
        <f>#REF!-G25</f>
        <v>#REF!</v>
      </c>
      <c r="K25" s="105" t="s">
        <v>304</v>
      </c>
      <c r="L25" s="92">
        <v>168522</v>
      </c>
      <c r="M25" s="31" t="s">
        <v>324</v>
      </c>
      <c r="N25" s="31">
        <v>165000</v>
      </c>
      <c r="O25" s="31">
        <v>3452</v>
      </c>
      <c r="P25" s="131"/>
      <c r="Q25" s="131"/>
    </row>
    <row r="26" spans="2:17">
      <c r="B26" s="31" t="s">
        <v>36</v>
      </c>
      <c r="C26" s="31" t="s">
        <v>31</v>
      </c>
      <c r="D26" s="32" t="s">
        <v>224</v>
      </c>
      <c r="E26" s="31" t="s">
        <v>128</v>
      </c>
      <c r="F26" s="31"/>
      <c r="G26" s="107">
        <v>45877</v>
      </c>
      <c r="H26" s="33">
        <v>45890</v>
      </c>
      <c r="I26" s="34">
        <f t="shared" si="7"/>
        <v>13</v>
      </c>
      <c r="J26" s="34" t="e">
        <f>#REF!-G26</f>
        <v>#REF!</v>
      </c>
      <c r="K26" s="105"/>
      <c r="L26" s="92">
        <v>100238</v>
      </c>
      <c r="M26" s="31" t="s">
        <v>74</v>
      </c>
      <c r="N26" s="64">
        <v>97231</v>
      </c>
      <c r="O26" s="31">
        <v>3007</v>
      </c>
      <c r="P26" s="131" t="s">
        <v>228</v>
      </c>
      <c r="Q26" s="131"/>
    </row>
    <row r="27" spans="2:17">
      <c r="B27" s="31" t="s">
        <v>156</v>
      </c>
      <c r="C27" s="31" t="s">
        <v>31</v>
      </c>
      <c r="D27" s="45">
        <v>1520</v>
      </c>
      <c r="E27" s="31" t="s">
        <v>128</v>
      </c>
      <c r="F27" s="31"/>
      <c r="G27" s="107">
        <v>45878</v>
      </c>
      <c r="H27" s="33">
        <v>45887</v>
      </c>
      <c r="I27" s="34">
        <f t="shared" si="7"/>
        <v>9</v>
      </c>
      <c r="J27" s="34" t="e">
        <f>#REF!-G27</f>
        <v>#REF!</v>
      </c>
      <c r="K27" s="45"/>
      <c r="L27" s="92">
        <v>753337</v>
      </c>
      <c r="M27" s="31" t="s">
        <v>74</v>
      </c>
      <c r="N27" s="31">
        <f>712109+22600+15066</f>
        <v>749775</v>
      </c>
      <c r="O27" s="94">
        <f>+L27-N27</f>
        <v>3562</v>
      </c>
      <c r="P27" s="131" t="s">
        <v>294</v>
      </c>
      <c r="Q27" s="131"/>
    </row>
    <row r="28" spans="2:17">
      <c r="B28" s="149" t="s">
        <v>155</v>
      </c>
      <c r="C28" s="11" t="s">
        <v>31</v>
      </c>
      <c r="D28" s="78">
        <v>1500</v>
      </c>
      <c r="E28" s="11" t="s">
        <v>128</v>
      </c>
      <c r="F28" s="11"/>
      <c r="G28" s="109">
        <v>45878</v>
      </c>
      <c r="H28" s="60">
        <v>45887</v>
      </c>
      <c r="I28" s="68">
        <f>H28-G28</f>
        <v>9</v>
      </c>
      <c r="J28" s="91" t="e">
        <f>#REF!-G28</f>
        <v>#REF!</v>
      </c>
      <c r="K28" s="78"/>
      <c r="L28" s="96">
        <v>363277</v>
      </c>
      <c r="M28" s="11"/>
      <c r="N28" s="11"/>
      <c r="O28" s="11"/>
      <c r="P28" s="131"/>
      <c r="Q28" s="131"/>
    </row>
    <row r="29" spans="2:17">
      <c r="B29" s="149" t="s">
        <v>232</v>
      </c>
      <c r="C29" s="11" t="s">
        <v>31</v>
      </c>
      <c r="D29" s="23" t="s">
        <v>234</v>
      </c>
      <c r="E29" s="11" t="s">
        <v>128</v>
      </c>
      <c r="F29" s="11"/>
      <c r="G29" s="109">
        <v>45880</v>
      </c>
      <c r="H29" s="60">
        <v>45890</v>
      </c>
      <c r="I29" s="68">
        <f t="shared" si="7"/>
        <v>10</v>
      </c>
      <c r="J29" s="91" t="e">
        <f>#REF!-G29</f>
        <v>#REF!</v>
      </c>
      <c r="K29" s="78"/>
      <c r="L29" s="95">
        <v>23548</v>
      </c>
      <c r="M29" s="11"/>
      <c r="N29" s="11"/>
      <c r="O29" s="11"/>
    </row>
    <row r="30" spans="2:17">
      <c r="B30" s="149" t="s">
        <v>233</v>
      </c>
      <c r="C30" s="11" t="s">
        <v>31</v>
      </c>
      <c r="D30" s="23" t="s">
        <v>235</v>
      </c>
      <c r="E30" s="11" t="s">
        <v>128</v>
      </c>
      <c r="F30" s="11"/>
      <c r="G30" s="109">
        <v>45880</v>
      </c>
      <c r="H30" s="60">
        <v>45890</v>
      </c>
      <c r="I30" s="68">
        <f>H30-G30</f>
        <v>10</v>
      </c>
      <c r="J30" s="91" t="e">
        <f>#REF!-G30</f>
        <v>#REF!</v>
      </c>
      <c r="K30" s="78"/>
      <c r="L30" s="95">
        <v>32924</v>
      </c>
      <c r="M30" s="11"/>
      <c r="N30" s="11"/>
      <c r="O30" s="11"/>
    </row>
    <row r="31" spans="2:17">
      <c r="B31" s="149" t="s">
        <v>149</v>
      </c>
      <c r="C31" s="11" t="s">
        <v>31</v>
      </c>
      <c r="D31" s="23" t="s">
        <v>236</v>
      </c>
      <c r="E31" s="11" t="s">
        <v>128</v>
      </c>
      <c r="F31" s="11"/>
      <c r="G31" s="109">
        <v>45880</v>
      </c>
      <c r="H31" s="60">
        <v>45890</v>
      </c>
      <c r="I31" s="68">
        <f t="shared" si="7"/>
        <v>10</v>
      </c>
      <c r="J31" s="91" t="e">
        <f>#REF!-G31</f>
        <v>#REF!</v>
      </c>
      <c r="K31" s="78"/>
      <c r="L31" s="95">
        <v>31586</v>
      </c>
      <c r="M31" s="11"/>
      <c r="N31" s="11"/>
      <c r="O31" s="11"/>
    </row>
    <row r="32" spans="2:17">
      <c r="B32" s="31" t="s">
        <v>243</v>
      </c>
      <c r="C32" s="31" t="s">
        <v>31</v>
      </c>
      <c r="D32" s="32" t="s">
        <v>244</v>
      </c>
      <c r="E32" s="31" t="s">
        <v>128</v>
      </c>
      <c r="F32" s="31"/>
      <c r="G32" s="107">
        <v>45868</v>
      </c>
      <c r="H32" s="33">
        <v>45881</v>
      </c>
      <c r="I32" s="34">
        <f t="shared" si="7"/>
        <v>13</v>
      </c>
      <c r="J32" s="31"/>
      <c r="K32" s="45"/>
      <c r="L32" s="64">
        <v>24483</v>
      </c>
      <c r="M32" s="31" t="s">
        <v>74</v>
      </c>
      <c r="N32" s="64">
        <v>23258</v>
      </c>
      <c r="O32" s="112">
        <v>0</v>
      </c>
      <c r="P32" s="129" t="s">
        <v>197</v>
      </c>
      <c r="Q32" s="133">
        <v>1224</v>
      </c>
    </row>
    <row r="33" spans="2:17">
      <c r="B33" s="31" t="s">
        <v>205</v>
      </c>
      <c r="C33" s="31" t="s">
        <v>31</v>
      </c>
      <c r="D33" s="32" t="s">
        <v>245</v>
      </c>
      <c r="E33" s="31" t="s">
        <v>128</v>
      </c>
      <c r="F33" s="31"/>
      <c r="G33" s="107">
        <v>45868</v>
      </c>
      <c r="H33" s="33">
        <v>45881</v>
      </c>
      <c r="I33" s="34">
        <f>H33-G33</f>
        <v>13</v>
      </c>
      <c r="J33" s="31"/>
      <c r="K33" s="45"/>
      <c r="L33" s="64">
        <v>23569</v>
      </c>
      <c r="M33" s="31" t="s">
        <v>74</v>
      </c>
      <c r="N33" s="64">
        <v>22390</v>
      </c>
      <c r="O33" s="113">
        <v>0</v>
      </c>
      <c r="P33" s="129" t="s">
        <v>197</v>
      </c>
      <c r="Q33" s="133">
        <v>1178</v>
      </c>
    </row>
    <row r="34" spans="2:17">
      <c r="B34" s="31" t="s">
        <v>246</v>
      </c>
      <c r="C34" s="31" t="s">
        <v>31</v>
      </c>
      <c r="D34" s="32" t="s">
        <v>247</v>
      </c>
      <c r="E34" s="31" t="s">
        <v>128</v>
      </c>
      <c r="F34" s="31"/>
      <c r="G34" s="107">
        <v>45868</v>
      </c>
      <c r="H34" s="33">
        <v>45881</v>
      </c>
      <c r="I34" s="34">
        <f t="shared" si="7"/>
        <v>13</v>
      </c>
      <c r="J34" s="31"/>
      <c r="K34" s="45"/>
      <c r="L34" s="64">
        <v>45343</v>
      </c>
      <c r="M34" s="31" t="s">
        <v>74</v>
      </c>
      <c r="N34" s="64">
        <v>4352</v>
      </c>
      <c r="O34" s="113">
        <v>38723</v>
      </c>
      <c r="P34" s="129" t="s">
        <v>197</v>
      </c>
      <c r="Q34" s="133">
        <v>2267</v>
      </c>
    </row>
    <row r="35" spans="2:17">
      <c r="B35" s="20" t="s">
        <v>250</v>
      </c>
      <c r="C35" s="52" t="s">
        <v>63</v>
      </c>
      <c r="D35" s="86" t="s">
        <v>251</v>
      </c>
      <c r="E35" s="52" t="s">
        <v>64</v>
      </c>
      <c r="F35" s="52"/>
      <c r="G35" s="108">
        <v>45882</v>
      </c>
      <c r="H35" s="53">
        <v>45890</v>
      </c>
      <c r="I35" s="87">
        <f t="shared" si="7"/>
        <v>8</v>
      </c>
      <c r="J35" s="52"/>
      <c r="K35" s="77"/>
      <c r="L35" s="100">
        <v>4826</v>
      </c>
      <c r="M35" s="52" t="s">
        <v>261</v>
      </c>
      <c r="N35" s="52"/>
      <c r="O35" s="52"/>
    </row>
    <row r="36" spans="2:17">
      <c r="B36" s="52" t="s">
        <v>177</v>
      </c>
      <c r="C36" s="52" t="s">
        <v>63</v>
      </c>
      <c r="D36" s="86" t="s">
        <v>253</v>
      </c>
      <c r="E36" s="52" t="s">
        <v>64</v>
      </c>
      <c r="F36" s="52"/>
      <c r="G36" s="108">
        <v>45882</v>
      </c>
      <c r="H36" s="53">
        <v>45890</v>
      </c>
      <c r="I36" s="87">
        <f>H36-G36</f>
        <v>8</v>
      </c>
      <c r="J36" s="52"/>
      <c r="K36" s="77"/>
      <c r="L36" s="98">
        <v>6323</v>
      </c>
      <c r="M36" s="52" t="s">
        <v>343</v>
      </c>
      <c r="N36" s="52"/>
      <c r="O36" s="52"/>
    </row>
    <row r="37" spans="2:17">
      <c r="B37" s="149" t="s">
        <v>39</v>
      </c>
      <c r="C37" s="11" t="s">
        <v>63</v>
      </c>
      <c r="D37" s="23" t="s">
        <v>252</v>
      </c>
      <c r="E37" s="11" t="s">
        <v>64</v>
      </c>
      <c r="F37" s="11"/>
      <c r="G37" s="109">
        <v>45882</v>
      </c>
      <c r="H37" s="60">
        <v>45890</v>
      </c>
      <c r="I37" s="68">
        <f t="shared" si="7"/>
        <v>8</v>
      </c>
      <c r="J37" s="11"/>
      <c r="K37" s="78"/>
      <c r="L37" s="99">
        <v>7962</v>
      </c>
      <c r="M37" s="11"/>
      <c r="N37" s="11"/>
      <c r="O37" s="11"/>
    </row>
    <row r="38" spans="2:17">
      <c r="B38" s="149" t="s">
        <v>262</v>
      </c>
      <c r="C38" s="11" t="s">
        <v>31</v>
      </c>
      <c r="D38" s="23" t="s">
        <v>276</v>
      </c>
      <c r="E38" s="11" t="s">
        <v>128</v>
      </c>
      <c r="F38" s="11"/>
      <c r="G38" s="109">
        <v>45884</v>
      </c>
      <c r="H38" s="60">
        <v>45893</v>
      </c>
      <c r="I38" s="68">
        <f>H38-G38</f>
        <v>9</v>
      </c>
      <c r="J38" s="11"/>
      <c r="K38" s="78"/>
      <c r="L38" s="99">
        <v>128207</v>
      </c>
      <c r="M38" s="11"/>
      <c r="N38" s="11"/>
      <c r="O38" s="11"/>
    </row>
    <row r="39" spans="2:17">
      <c r="B39" s="149" t="s">
        <v>211</v>
      </c>
      <c r="C39" s="11" t="s">
        <v>31</v>
      </c>
      <c r="D39" s="23" t="s">
        <v>277</v>
      </c>
      <c r="E39" s="11" t="s">
        <v>128</v>
      </c>
      <c r="F39" s="11"/>
      <c r="G39" s="109">
        <v>45884</v>
      </c>
      <c r="H39" s="60">
        <v>45893</v>
      </c>
      <c r="I39" s="68">
        <f t="shared" si="7"/>
        <v>9</v>
      </c>
      <c r="J39" s="11"/>
      <c r="K39" s="78"/>
      <c r="L39" s="99">
        <v>256564</v>
      </c>
      <c r="M39" s="11"/>
      <c r="N39" s="11"/>
      <c r="O39" s="11"/>
    </row>
    <row r="40" spans="2:17">
      <c r="B40" s="149" t="s">
        <v>263</v>
      </c>
      <c r="C40" s="11" t="s">
        <v>31</v>
      </c>
      <c r="D40" s="23" t="s">
        <v>275</v>
      </c>
      <c r="E40" s="11" t="s">
        <v>128</v>
      </c>
      <c r="F40" s="11"/>
      <c r="G40" s="109">
        <v>45884</v>
      </c>
      <c r="H40" s="60">
        <v>45893</v>
      </c>
      <c r="I40" s="68">
        <f t="shared" si="7"/>
        <v>9</v>
      </c>
      <c r="J40" s="11"/>
      <c r="K40" s="78"/>
      <c r="L40" s="99">
        <v>62243</v>
      </c>
      <c r="M40" s="11"/>
      <c r="N40" s="11"/>
      <c r="O40" s="11"/>
    </row>
    <row r="41" spans="2:17">
      <c r="B41" s="149" t="s">
        <v>90</v>
      </c>
      <c r="C41" s="11" t="s">
        <v>31</v>
      </c>
      <c r="D41" s="23" t="s">
        <v>274</v>
      </c>
      <c r="E41" s="11" t="s">
        <v>128</v>
      </c>
      <c r="F41" s="11"/>
      <c r="G41" s="109">
        <v>45885</v>
      </c>
      <c r="H41" s="60">
        <v>45893</v>
      </c>
      <c r="I41" s="68">
        <f t="shared" si="7"/>
        <v>8</v>
      </c>
      <c r="J41" s="11"/>
      <c r="K41" s="78"/>
      <c r="L41" s="99">
        <v>54940</v>
      </c>
      <c r="M41" s="11"/>
      <c r="N41" s="11"/>
      <c r="O41" s="11"/>
    </row>
    <row r="42" spans="2:17">
      <c r="B42" s="149" t="s">
        <v>222</v>
      </c>
      <c r="C42" s="11" t="s">
        <v>31</v>
      </c>
      <c r="D42" s="23" t="s">
        <v>273</v>
      </c>
      <c r="E42" s="11" t="s">
        <v>128</v>
      </c>
      <c r="F42" s="11"/>
      <c r="G42" s="109">
        <v>45885</v>
      </c>
      <c r="H42" s="60">
        <v>45893</v>
      </c>
      <c r="I42" s="68">
        <f>H42-G42</f>
        <v>8</v>
      </c>
      <c r="J42" s="11"/>
      <c r="K42" s="78"/>
      <c r="L42" s="99">
        <v>38498</v>
      </c>
      <c r="M42" s="11"/>
      <c r="N42" s="11"/>
      <c r="O42" s="11"/>
    </row>
    <row r="43" spans="2:17">
      <c r="B43" s="31" t="s">
        <v>223</v>
      </c>
      <c r="C43" s="31" t="s">
        <v>31</v>
      </c>
      <c r="D43" s="32" t="s">
        <v>272</v>
      </c>
      <c r="E43" s="31" t="s">
        <v>128</v>
      </c>
      <c r="F43" s="31"/>
      <c r="G43" s="107">
        <v>45885</v>
      </c>
      <c r="H43" s="33">
        <v>45893</v>
      </c>
      <c r="I43" s="34">
        <f t="shared" si="7"/>
        <v>8</v>
      </c>
      <c r="J43" s="31"/>
      <c r="K43" s="45" t="s">
        <v>304</v>
      </c>
      <c r="L43" s="92">
        <v>71945</v>
      </c>
      <c r="M43" s="31" t="s">
        <v>324</v>
      </c>
      <c r="N43" s="31">
        <v>70000</v>
      </c>
      <c r="O43" s="31">
        <v>1945</v>
      </c>
    </row>
    <row r="44" spans="2:17">
      <c r="B44" s="31" t="s">
        <v>194</v>
      </c>
      <c r="C44" s="31" t="s">
        <v>31</v>
      </c>
      <c r="D44" s="32" t="s">
        <v>271</v>
      </c>
      <c r="E44" s="31" t="s">
        <v>128</v>
      </c>
      <c r="F44" s="31"/>
      <c r="G44" s="107">
        <v>45885</v>
      </c>
      <c r="H44" s="33">
        <v>45893</v>
      </c>
      <c r="I44" s="34">
        <f t="shared" si="7"/>
        <v>8</v>
      </c>
      <c r="J44" s="31"/>
      <c r="K44" s="45" t="s">
        <v>318</v>
      </c>
      <c r="L44" s="92">
        <v>40244</v>
      </c>
      <c r="M44" s="31" t="s">
        <v>74</v>
      </c>
      <c r="N44" s="31">
        <v>39030</v>
      </c>
      <c r="O44" s="31">
        <v>1214</v>
      </c>
      <c r="P44" s="44" t="s">
        <v>317</v>
      </c>
    </row>
    <row r="45" spans="2:17">
      <c r="B45" s="31" t="s">
        <v>269</v>
      </c>
      <c r="C45" s="31" t="s">
        <v>31</v>
      </c>
      <c r="D45" s="32" t="s">
        <v>270</v>
      </c>
      <c r="E45" s="31" t="s">
        <v>128</v>
      </c>
      <c r="F45" s="31"/>
      <c r="G45" s="107">
        <v>45885</v>
      </c>
      <c r="H45" s="33">
        <v>45893</v>
      </c>
      <c r="I45" s="34">
        <f>H45-G45</f>
        <v>8</v>
      </c>
      <c r="J45" s="31"/>
      <c r="K45" s="45"/>
      <c r="L45" s="122">
        <v>490748</v>
      </c>
      <c r="M45" s="31" t="s">
        <v>324</v>
      </c>
      <c r="N45" s="31"/>
      <c r="O45" s="64">
        <v>293920</v>
      </c>
      <c r="P45" s="131" t="s">
        <v>314</v>
      </c>
      <c r="Q45" s="131"/>
    </row>
    <row r="46" spans="2:17">
      <c r="B46" s="149" t="s">
        <v>278</v>
      </c>
      <c r="C46" s="11" t="s">
        <v>31</v>
      </c>
      <c r="D46" s="23" t="s">
        <v>280</v>
      </c>
      <c r="E46" s="11" t="s">
        <v>128</v>
      </c>
      <c r="F46" s="11"/>
      <c r="G46" s="109">
        <v>45886</v>
      </c>
      <c r="H46" s="60">
        <v>45895</v>
      </c>
      <c r="I46" s="68">
        <f>H46-G46</f>
        <v>9</v>
      </c>
      <c r="J46" s="11"/>
      <c r="K46" s="11"/>
      <c r="L46" s="99">
        <v>50937</v>
      </c>
      <c r="M46" s="11"/>
      <c r="N46" s="11"/>
      <c r="O46" s="11"/>
    </row>
    <row r="47" spans="2:17">
      <c r="B47" s="149" t="s">
        <v>279</v>
      </c>
      <c r="C47" s="11" t="s">
        <v>31</v>
      </c>
      <c r="D47" s="23" t="s">
        <v>283</v>
      </c>
      <c r="E47" s="11" t="s">
        <v>128</v>
      </c>
      <c r="F47" s="11"/>
      <c r="G47" s="109">
        <v>45886</v>
      </c>
      <c r="H47" s="60">
        <v>45895</v>
      </c>
      <c r="I47" s="68">
        <f t="shared" si="7"/>
        <v>9</v>
      </c>
      <c r="J47" s="11"/>
      <c r="K47" s="11"/>
      <c r="L47" s="99">
        <v>2664</v>
      </c>
      <c r="M47" s="11"/>
      <c r="N47" s="11"/>
      <c r="O47" s="11"/>
    </row>
    <row r="48" spans="2:17">
      <c r="B48" s="149" t="s">
        <v>157</v>
      </c>
      <c r="C48" s="11" t="s">
        <v>31</v>
      </c>
      <c r="D48" s="23" t="s">
        <v>281</v>
      </c>
      <c r="E48" s="11" t="s">
        <v>128</v>
      </c>
      <c r="F48" s="11"/>
      <c r="G48" s="109">
        <v>45886</v>
      </c>
      <c r="H48" s="60">
        <v>45895</v>
      </c>
      <c r="I48" s="68">
        <f t="shared" si="7"/>
        <v>9</v>
      </c>
      <c r="J48" s="11"/>
      <c r="K48" s="11"/>
      <c r="L48" s="99">
        <v>71779</v>
      </c>
      <c r="M48" s="11"/>
      <c r="N48" s="11"/>
      <c r="O48" s="11"/>
    </row>
    <row r="49" spans="2:16">
      <c r="B49" s="149" t="s">
        <v>156</v>
      </c>
      <c r="C49" s="11" t="s">
        <v>31</v>
      </c>
      <c r="D49" s="23" t="s">
        <v>282</v>
      </c>
      <c r="E49" s="11" t="s">
        <v>128</v>
      </c>
      <c r="F49" s="11"/>
      <c r="G49" s="109">
        <v>45886</v>
      </c>
      <c r="H49" s="60">
        <v>45895</v>
      </c>
      <c r="I49" s="68">
        <f t="shared" si="7"/>
        <v>9</v>
      </c>
      <c r="J49" s="11"/>
      <c r="K49" s="11"/>
      <c r="L49" s="99">
        <v>1402779</v>
      </c>
      <c r="M49" s="11"/>
      <c r="N49" s="11"/>
      <c r="O49" s="11"/>
    </row>
    <row r="50" spans="2:16">
      <c r="B50" s="52" t="s">
        <v>284</v>
      </c>
      <c r="C50" s="52" t="s">
        <v>208</v>
      </c>
      <c r="D50" s="86" t="s">
        <v>285</v>
      </c>
      <c r="E50" s="52" t="s">
        <v>32</v>
      </c>
      <c r="F50" s="52"/>
      <c r="G50" s="108">
        <v>45886</v>
      </c>
      <c r="H50" s="108">
        <v>45895</v>
      </c>
      <c r="I50" s="87">
        <f>H50-G50</f>
        <v>9</v>
      </c>
      <c r="J50" s="52"/>
      <c r="K50" s="52"/>
      <c r="L50" s="98">
        <v>2953</v>
      </c>
      <c r="M50" s="52" t="s">
        <v>242</v>
      </c>
      <c r="N50" s="52"/>
      <c r="O50" s="52"/>
    </row>
    <row r="51" spans="2:16">
      <c r="B51" s="52" t="s">
        <v>287</v>
      </c>
      <c r="C51" s="52" t="s">
        <v>208</v>
      </c>
      <c r="D51" s="86" t="s">
        <v>289</v>
      </c>
      <c r="E51" s="52" t="s">
        <v>32</v>
      </c>
      <c r="F51" s="52"/>
      <c r="G51" s="108">
        <v>45887</v>
      </c>
      <c r="H51" s="108">
        <v>45888</v>
      </c>
      <c r="I51" s="87">
        <f t="shared" si="7"/>
        <v>1</v>
      </c>
      <c r="J51" s="52"/>
      <c r="K51" s="52"/>
      <c r="L51" s="100">
        <v>3862</v>
      </c>
      <c r="M51" s="52" t="s">
        <v>261</v>
      </c>
      <c r="N51" s="52"/>
      <c r="O51" s="52"/>
    </row>
    <row r="52" spans="2:16">
      <c r="B52" s="115" t="s">
        <v>288</v>
      </c>
      <c r="C52" s="115" t="s">
        <v>208</v>
      </c>
      <c r="D52" s="116" t="s">
        <v>290</v>
      </c>
      <c r="E52" s="115" t="s">
        <v>32</v>
      </c>
      <c r="F52" s="115"/>
      <c r="G52" s="117">
        <v>45887</v>
      </c>
      <c r="H52" s="117">
        <v>45888</v>
      </c>
      <c r="I52" s="118">
        <f t="shared" si="7"/>
        <v>1</v>
      </c>
      <c r="J52" s="115"/>
      <c r="K52" s="115"/>
      <c r="L52" s="100">
        <v>4782</v>
      </c>
      <c r="M52" s="52" t="s">
        <v>261</v>
      </c>
      <c r="N52" s="52"/>
      <c r="O52" s="52"/>
    </row>
    <row r="53" spans="2:16">
      <c r="B53" s="149" t="s">
        <v>109</v>
      </c>
      <c r="C53" s="11" t="s">
        <v>31</v>
      </c>
      <c r="D53" s="78">
        <v>1860</v>
      </c>
      <c r="E53" s="11" t="s">
        <v>128</v>
      </c>
      <c r="F53" s="11"/>
      <c r="G53" s="120">
        <v>45887</v>
      </c>
      <c r="H53" s="22">
        <v>45899</v>
      </c>
      <c r="I53" s="68">
        <f>H53-G53</f>
        <v>12</v>
      </c>
      <c r="J53" s="11"/>
      <c r="K53" s="11"/>
      <c r="L53" s="99">
        <v>14475</v>
      </c>
      <c r="M53" s="11"/>
      <c r="N53" s="11"/>
      <c r="O53" s="11"/>
    </row>
    <row r="54" spans="2:16">
      <c r="B54" s="149" t="s">
        <v>292</v>
      </c>
      <c r="C54" s="11" t="s">
        <v>31</v>
      </c>
      <c r="D54" s="78">
        <v>1870</v>
      </c>
      <c r="E54" s="11" t="s">
        <v>128</v>
      </c>
      <c r="F54" s="11"/>
      <c r="G54" s="120">
        <v>45887</v>
      </c>
      <c r="H54" s="22">
        <v>45899</v>
      </c>
      <c r="I54" s="68">
        <f t="shared" si="7"/>
        <v>12</v>
      </c>
      <c r="J54" s="11"/>
      <c r="K54" s="11"/>
      <c r="L54" s="99">
        <v>23258</v>
      </c>
      <c r="M54" s="11"/>
      <c r="N54" s="11"/>
      <c r="O54" s="11"/>
    </row>
    <row r="55" spans="2:16">
      <c r="B55" s="149" t="s">
        <v>108</v>
      </c>
      <c r="C55" s="11" t="s">
        <v>31</v>
      </c>
      <c r="D55" s="78">
        <v>1900</v>
      </c>
      <c r="E55" s="11" t="s">
        <v>128</v>
      </c>
      <c r="F55" s="11"/>
      <c r="G55" s="120">
        <v>45887</v>
      </c>
      <c r="H55" s="22">
        <v>45899</v>
      </c>
      <c r="I55" s="68">
        <f t="shared" si="7"/>
        <v>12</v>
      </c>
      <c r="J55" s="11"/>
      <c r="K55" s="11"/>
      <c r="L55" s="99">
        <v>290194</v>
      </c>
      <c r="M55" s="11"/>
      <c r="N55" s="11"/>
      <c r="O55" s="11"/>
    </row>
    <row r="56" spans="2:16">
      <c r="B56" s="149" t="s">
        <v>293</v>
      </c>
      <c r="C56" s="11" t="s">
        <v>31</v>
      </c>
      <c r="D56" s="78">
        <v>1880</v>
      </c>
      <c r="E56" s="11" t="s">
        <v>128</v>
      </c>
      <c r="F56" s="11"/>
      <c r="G56" s="120">
        <v>45887</v>
      </c>
      <c r="H56" s="22">
        <v>45899</v>
      </c>
      <c r="I56" s="68">
        <f t="shared" si="7"/>
        <v>12</v>
      </c>
      <c r="J56" s="11"/>
      <c r="K56" s="11"/>
      <c r="L56" s="119">
        <v>17308</v>
      </c>
      <c r="M56" s="11"/>
      <c r="N56" s="11"/>
      <c r="O56" s="11"/>
    </row>
    <row r="57" spans="2:16">
      <c r="B57" s="149" t="s">
        <v>168</v>
      </c>
      <c r="C57" s="11" t="s">
        <v>31</v>
      </c>
      <c r="D57" s="78">
        <v>1910</v>
      </c>
      <c r="E57" s="11" t="s">
        <v>128</v>
      </c>
      <c r="F57" s="11"/>
      <c r="G57" s="120">
        <v>45887</v>
      </c>
      <c r="H57" s="22">
        <v>45899</v>
      </c>
      <c r="I57" s="68">
        <f>H57-G57</f>
        <v>12</v>
      </c>
      <c r="J57" s="11"/>
      <c r="K57" s="11"/>
      <c r="L57" s="119">
        <v>49304</v>
      </c>
      <c r="M57" s="11"/>
      <c r="N57" s="11"/>
      <c r="O57" s="11"/>
    </row>
    <row r="58" spans="2:16">
      <c r="B58" s="149" t="s">
        <v>305</v>
      </c>
      <c r="C58" s="11" t="s">
        <v>31</v>
      </c>
      <c r="D58" s="23" t="s">
        <v>307</v>
      </c>
      <c r="E58" s="11" t="s">
        <v>128</v>
      </c>
      <c r="F58" s="30"/>
      <c r="G58" s="60">
        <v>45890</v>
      </c>
      <c r="H58" s="22">
        <v>45899</v>
      </c>
      <c r="I58" s="68">
        <f t="shared" si="7"/>
        <v>9</v>
      </c>
      <c r="J58" s="11"/>
      <c r="K58" s="11"/>
      <c r="L58" s="99">
        <v>69178</v>
      </c>
      <c r="M58" s="11"/>
      <c r="N58" s="11"/>
      <c r="O58" s="11"/>
      <c r="P58" s="44" t="s">
        <v>309</v>
      </c>
    </row>
    <row r="59" spans="2:16">
      <c r="B59" s="149" t="s">
        <v>306</v>
      </c>
      <c r="C59" s="11" t="s">
        <v>31</v>
      </c>
      <c r="D59" s="23" t="s">
        <v>308</v>
      </c>
      <c r="E59" s="11" t="s">
        <v>128</v>
      </c>
      <c r="F59" s="11"/>
      <c r="G59" s="60">
        <v>45890</v>
      </c>
      <c r="H59" s="22">
        <v>45899</v>
      </c>
      <c r="I59" s="68">
        <f>H59-G59</f>
        <v>9</v>
      </c>
      <c r="J59" s="11"/>
      <c r="K59" s="11"/>
      <c r="L59" s="99">
        <v>18159</v>
      </c>
      <c r="M59" s="11"/>
      <c r="N59" s="11"/>
      <c r="O59" s="11"/>
    </row>
    <row r="60" spans="2:16">
      <c r="B60" s="149" t="s">
        <v>207</v>
      </c>
      <c r="C60" s="11" t="s">
        <v>208</v>
      </c>
      <c r="D60" s="23" t="s">
        <v>311</v>
      </c>
      <c r="E60" s="11" t="s">
        <v>32</v>
      </c>
      <c r="F60" s="11"/>
      <c r="G60" s="60">
        <v>45890</v>
      </c>
      <c r="H60" s="22">
        <v>45899</v>
      </c>
      <c r="I60" s="68">
        <f t="shared" si="7"/>
        <v>9</v>
      </c>
      <c r="J60" s="11"/>
      <c r="K60" s="11"/>
      <c r="L60" s="29">
        <v>33528</v>
      </c>
      <c r="M60" s="11"/>
      <c r="N60" s="11"/>
      <c r="O60" s="11"/>
    </row>
    <row r="61" spans="2:16">
      <c r="B61" s="150" t="s">
        <v>315</v>
      </c>
      <c r="C61" s="11" t="s">
        <v>31</v>
      </c>
      <c r="D61" s="79">
        <v>2010</v>
      </c>
      <c r="E61" s="11" t="s">
        <v>128</v>
      </c>
      <c r="F61" s="11"/>
      <c r="G61" s="60">
        <v>45891</v>
      </c>
      <c r="H61" s="22">
        <v>45905</v>
      </c>
      <c r="I61" s="68">
        <f>H61-G61</f>
        <v>14</v>
      </c>
      <c r="J61" s="11"/>
      <c r="K61" s="11"/>
      <c r="L61" s="80">
        <v>102782</v>
      </c>
      <c r="M61" s="11"/>
      <c r="N61" s="11"/>
      <c r="O61" s="11"/>
    </row>
    <row r="62" spans="2:16">
      <c r="B62" t="s">
        <v>157</v>
      </c>
      <c r="C62" s="11" t="s">
        <v>31</v>
      </c>
      <c r="D62" s="138" t="s">
        <v>336</v>
      </c>
      <c r="E62" s="11" t="s">
        <v>128</v>
      </c>
      <c r="F62" s="11"/>
      <c r="G62" s="60">
        <v>45892</v>
      </c>
      <c r="H62" s="141">
        <v>45905</v>
      </c>
      <c r="I62" s="68">
        <f t="shared" si="7"/>
        <v>13</v>
      </c>
      <c r="J62" s="11"/>
      <c r="K62" s="11"/>
      <c r="L62" s="21">
        <v>81916</v>
      </c>
      <c r="M62" s="11"/>
      <c r="N62" s="11"/>
      <c r="O62" s="11"/>
    </row>
    <row r="63" spans="2:16">
      <c r="B63" t="s">
        <v>155</v>
      </c>
      <c r="C63" s="11" t="s">
        <v>31</v>
      </c>
      <c r="D63" s="138" t="s">
        <v>337</v>
      </c>
      <c r="E63" s="11" t="s">
        <v>128</v>
      </c>
      <c r="F63" s="11"/>
      <c r="G63" s="60">
        <v>45892</v>
      </c>
      <c r="H63" s="141">
        <v>45905</v>
      </c>
      <c r="I63" s="68">
        <f t="shared" si="7"/>
        <v>13</v>
      </c>
      <c r="J63" s="11"/>
      <c r="K63" s="11"/>
      <c r="L63" s="21">
        <v>23787</v>
      </c>
      <c r="M63" s="11"/>
      <c r="N63" s="11"/>
      <c r="O63" s="11"/>
    </row>
    <row r="64" spans="2:16">
      <c r="B64" t="s">
        <v>335</v>
      </c>
      <c r="C64" s="11" t="s">
        <v>31</v>
      </c>
      <c r="D64" s="138" t="s">
        <v>338</v>
      </c>
      <c r="E64" s="11" t="s">
        <v>128</v>
      </c>
      <c r="F64" s="30"/>
      <c r="G64" s="60">
        <v>45892</v>
      </c>
      <c r="H64" s="141">
        <v>45905</v>
      </c>
      <c r="I64" s="68">
        <f>H64-G64</f>
        <v>13</v>
      </c>
      <c r="J64" s="11"/>
      <c r="K64" s="11"/>
      <c r="L64" s="21">
        <v>76382</v>
      </c>
      <c r="M64" s="11"/>
      <c r="N64" s="11"/>
      <c r="O64" s="11"/>
    </row>
    <row r="65" spans="2:17">
      <c r="B65" s="31" t="s">
        <v>223</v>
      </c>
      <c r="C65" s="31" t="s">
        <v>31</v>
      </c>
      <c r="D65" s="32" t="s">
        <v>339</v>
      </c>
      <c r="E65" s="31" t="s">
        <v>128</v>
      </c>
      <c r="F65" s="40"/>
      <c r="G65" s="107">
        <v>45877</v>
      </c>
      <c r="H65" s="33">
        <v>45887</v>
      </c>
      <c r="I65" s="34">
        <f t="shared" si="7"/>
        <v>10</v>
      </c>
      <c r="J65" s="31"/>
      <c r="K65" s="31"/>
      <c r="L65" s="92">
        <v>114142</v>
      </c>
      <c r="M65" s="31" t="s">
        <v>341</v>
      </c>
      <c r="N65" s="64">
        <v>101500</v>
      </c>
      <c r="O65" s="31">
        <v>12445</v>
      </c>
      <c r="P65" s="131" t="s">
        <v>340</v>
      </c>
      <c r="Q65" s="131">
        <v>3424</v>
      </c>
    </row>
    <row r="66" spans="2:17">
      <c r="B66" s="11"/>
      <c r="C66" s="11"/>
      <c r="D66" s="23"/>
      <c r="E66" s="11"/>
      <c r="F66" s="11"/>
      <c r="G66" s="78"/>
      <c r="H66" s="11"/>
      <c r="I66" s="11"/>
      <c r="J66" s="11"/>
      <c r="K66" s="11"/>
      <c r="L66" s="29"/>
      <c r="M66" s="11"/>
      <c r="N66" s="11"/>
      <c r="O66" s="11"/>
    </row>
    <row r="67" spans="2:17">
      <c r="B67" s="11"/>
      <c r="C67" s="11"/>
      <c r="D67" s="23"/>
      <c r="E67" s="11"/>
      <c r="F67" s="11"/>
      <c r="G67" s="78"/>
      <c r="H67" s="11"/>
      <c r="I67" s="11"/>
      <c r="J67" s="11"/>
      <c r="K67" s="11"/>
      <c r="L67" s="29"/>
      <c r="M67" s="11"/>
      <c r="N67" s="11"/>
      <c r="O67" s="11"/>
    </row>
    <row r="68" spans="2:17">
      <c r="B68" s="11"/>
      <c r="C68" s="11"/>
      <c r="D68" s="23"/>
      <c r="E68" s="11"/>
      <c r="F68" s="11"/>
      <c r="G68" s="78"/>
      <c r="H68" s="11"/>
      <c r="I68" s="11"/>
      <c r="J68" s="11"/>
      <c r="K68" s="11"/>
      <c r="L68" s="29"/>
      <c r="M68" s="11"/>
      <c r="N68" s="11"/>
      <c r="O68" s="11"/>
    </row>
    <row r="69" spans="2:17">
      <c r="B69" s="11"/>
      <c r="C69" s="11"/>
      <c r="D69" s="23"/>
      <c r="E69" s="11"/>
      <c r="F69" s="11"/>
      <c r="G69" s="78"/>
      <c r="H69" s="11"/>
      <c r="I69" s="11"/>
      <c r="J69" s="11"/>
      <c r="K69" s="11"/>
      <c r="L69" s="11"/>
      <c r="M69" s="11"/>
      <c r="N69" s="11"/>
      <c r="O69" s="11"/>
    </row>
    <row r="70" spans="2:17">
      <c r="B70" s="11"/>
      <c r="C70" s="11"/>
      <c r="D70" s="23"/>
      <c r="E70" s="11"/>
      <c r="F70" s="11"/>
      <c r="G70" s="78"/>
      <c r="H70" s="11"/>
      <c r="I70" s="11"/>
      <c r="J70" s="11"/>
      <c r="K70" s="11"/>
      <c r="L70" s="11"/>
      <c r="M70" s="11"/>
      <c r="N70" s="11"/>
      <c r="O70" s="11"/>
    </row>
    <row r="71" spans="2:17">
      <c r="B71" s="11"/>
      <c r="C71" s="11"/>
      <c r="D71" s="23"/>
      <c r="E71" s="11"/>
      <c r="F71" s="11"/>
      <c r="G71" s="78"/>
      <c r="H71" s="11"/>
      <c r="I71" s="11"/>
      <c r="J71" s="11"/>
      <c r="K71" s="11"/>
      <c r="L71" s="11"/>
      <c r="M71" s="11"/>
      <c r="N71" s="11"/>
      <c r="O71" s="11"/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53"/>
  <sheetViews>
    <sheetView zoomScale="85" zoomScaleNormal="85" workbookViewId="0">
      <pane xSplit="1" ySplit="5" topLeftCell="B411" activePane="bottomRight" state="frozen"/>
      <selection pane="topRight" activeCell="B1" sqref="B1"/>
      <selection pane="bottomLeft" activeCell="A6" sqref="A6"/>
      <selection pane="bottomRight" activeCell="H437" sqref="H437"/>
    </sheetView>
  </sheetViews>
  <sheetFormatPr defaultRowHeight="15"/>
  <cols>
    <col min="1" max="1" width="11.5703125" bestFit="1" customWidth="1"/>
    <col min="2" max="2" width="22" customWidth="1"/>
    <col min="3" max="4" width="13.140625" bestFit="1" customWidth="1"/>
    <col min="5" max="5" width="10.5703125" bestFit="1" customWidth="1"/>
    <col min="6" max="6" width="9.140625" style="79"/>
    <col min="7" max="7" width="13.85546875" bestFit="1" customWidth="1"/>
    <col min="8" max="8" width="13.85546875" style="51" bestFit="1" customWidth="1"/>
    <col min="9" max="10" width="13.85546875" bestFit="1" customWidth="1"/>
    <col min="11" max="11" width="0.7109375" customWidth="1"/>
    <col min="12" max="12" width="13.85546875" style="44" bestFit="1" customWidth="1"/>
    <col min="13" max="14" width="13.85546875" bestFit="1" customWidth="1"/>
    <col min="15" max="15" width="1.7109375" customWidth="1"/>
    <col min="16" max="19" width="17" customWidth="1"/>
    <col min="20" max="20" width="28.140625" customWidth="1"/>
    <col min="22" max="22" width="10.5703125" style="44" bestFit="1" customWidth="1"/>
  </cols>
  <sheetData>
    <row r="1" spans="1:22">
      <c r="A1" s="135">
        <f ca="1">+TODAY()</f>
        <v>45990</v>
      </c>
    </row>
    <row r="2" spans="1:22" ht="23.25">
      <c r="B2" s="517" t="s">
        <v>25</v>
      </c>
      <c r="C2" s="517"/>
      <c r="D2" s="517"/>
      <c r="E2" s="517"/>
      <c r="F2" s="518"/>
      <c r="G2" s="517"/>
      <c r="H2" s="517"/>
      <c r="I2" s="517"/>
      <c r="J2" s="517"/>
      <c r="K2" s="517"/>
      <c r="L2" s="517"/>
      <c r="M2" s="517"/>
      <c r="N2" s="517"/>
      <c r="P2" s="44"/>
      <c r="Q2" s="44"/>
    </row>
    <row r="3" spans="1:22">
      <c r="E3" s="24"/>
      <c r="P3" s="44"/>
      <c r="Q3" s="44"/>
    </row>
    <row r="4" spans="1:22">
      <c r="H4" s="417">
        <v>0.03</v>
      </c>
      <c r="I4" s="134">
        <v>0.02</v>
      </c>
      <c r="J4" s="134"/>
      <c r="K4" s="134"/>
    </row>
    <row r="5" spans="1:22">
      <c r="B5" s="36" t="s">
        <v>19</v>
      </c>
      <c r="C5" s="36" t="s">
        <v>28</v>
      </c>
      <c r="D5" s="36" t="s">
        <v>325</v>
      </c>
      <c r="E5" s="137" t="s">
        <v>0</v>
      </c>
      <c r="F5" s="239" t="s">
        <v>20</v>
      </c>
      <c r="G5" s="36" t="s">
        <v>326</v>
      </c>
      <c r="H5" s="418" t="s">
        <v>130</v>
      </c>
      <c r="I5" s="36" t="s">
        <v>131</v>
      </c>
      <c r="J5" s="142" t="s">
        <v>136</v>
      </c>
      <c r="L5" s="147" t="s">
        <v>24</v>
      </c>
      <c r="M5" s="143" t="s">
        <v>329</v>
      </c>
      <c r="N5" s="143" t="s">
        <v>330</v>
      </c>
      <c r="P5" s="36" t="s">
        <v>331</v>
      </c>
      <c r="Q5" s="36" t="s">
        <v>332</v>
      </c>
      <c r="R5" s="36" t="s">
        <v>333</v>
      </c>
      <c r="S5" s="143" t="s">
        <v>328</v>
      </c>
      <c r="T5" s="136" t="s">
        <v>327</v>
      </c>
      <c r="U5" s="36" t="s">
        <v>366</v>
      </c>
      <c r="V5" s="37" t="s">
        <v>0</v>
      </c>
    </row>
    <row r="6" spans="1:22">
      <c r="B6" s="155" t="s">
        <v>188</v>
      </c>
      <c r="C6" s="155" t="s">
        <v>31</v>
      </c>
      <c r="D6" s="155" t="s">
        <v>128</v>
      </c>
      <c r="E6" s="196">
        <v>45869</v>
      </c>
      <c r="F6" s="160">
        <v>1000</v>
      </c>
      <c r="G6" s="155">
        <v>61009</v>
      </c>
      <c r="H6" s="419">
        <v>1830</v>
      </c>
      <c r="I6" s="162"/>
      <c r="J6" s="144">
        <v>59178</v>
      </c>
      <c r="K6" s="140"/>
      <c r="L6" s="141">
        <v>45873</v>
      </c>
      <c r="M6" s="145">
        <v>0</v>
      </c>
      <c r="N6" s="145">
        <v>0</v>
      </c>
      <c r="O6" s="140"/>
      <c r="P6" s="50">
        <v>20000</v>
      </c>
      <c r="Q6" s="21">
        <v>39178</v>
      </c>
      <c r="R6" s="21"/>
      <c r="S6" s="146">
        <f>+J6-SUM(P6:R6)</f>
        <v>0</v>
      </c>
      <c r="T6" s="21" t="s">
        <v>204</v>
      </c>
      <c r="U6" s="11" t="s">
        <v>204</v>
      </c>
      <c r="V6" s="193" t="s">
        <v>376</v>
      </c>
    </row>
    <row r="7" spans="1:22">
      <c r="B7" s="155" t="s">
        <v>43</v>
      </c>
      <c r="C7" s="155" t="s">
        <v>31</v>
      </c>
      <c r="D7" s="155" t="s">
        <v>128</v>
      </c>
      <c r="E7" s="159">
        <v>45871</v>
      </c>
      <c r="F7" s="240" t="s">
        <v>198</v>
      </c>
      <c r="G7" s="155">
        <v>55993</v>
      </c>
      <c r="H7" s="419">
        <v>1679</v>
      </c>
      <c r="I7" s="162">
        <v>1119</v>
      </c>
      <c r="J7" s="144">
        <f t="shared" ref="J7:J69" si="0">+G7-H7-I7</f>
        <v>53195</v>
      </c>
      <c r="K7" s="140"/>
      <c r="L7" s="141">
        <v>45873</v>
      </c>
      <c r="M7" s="145">
        <v>0</v>
      </c>
      <c r="N7" s="145">
        <v>0</v>
      </c>
      <c r="O7" s="140"/>
      <c r="P7" s="50">
        <v>53195</v>
      </c>
      <c r="Q7" s="21"/>
      <c r="R7" s="21"/>
      <c r="S7" s="146">
        <f t="shared" ref="S7:S70" si="1">+J7-SUM(P7:R7)</f>
        <v>0</v>
      </c>
      <c r="T7" s="21" t="s">
        <v>204</v>
      </c>
      <c r="U7" s="11" t="s">
        <v>204</v>
      </c>
      <c r="V7" s="193" t="s">
        <v>367</v>
      </c>
    </row>
    <row r="8" spans="1:22" s="38" customFormat="1">
      <c r="B8" s="155" t="s">
        <v>211</v>
      </c>
      <c r="C8" s="155" t="s">
        <v>31</v>
      </c>
      <c r="D8" s="155" t="s">
        <v>128</v>
      </c>
      <c r="E8" s="159">
        <v>45876</v>
      </c>
      <c r="F8" s="240" t="s">
        <v>215</v>
      </c>
      <c r="G8" s="155">
        <v>343254</v>
      </c>
      <c r="H8" s="419">
        <v>10298</v>
      </c>
      <c r="I8" s="162">
        <v>6865</v>
      </c>
      <c r="J8" s="144">
        <v>326091</v>
      </c>
      <c r="L8" s="152">
        <v>45887</v>
      </c>
      <c r="M8" s="145">
        <v>0</v>
      </c>
      <c r="N8" s="145">
        <v>0</v>
      </c>
      <c r="P8" s="30">
        <v>236184</v>
      </c>
      <c r="Q8" s="30">
        <v>77276</v>
      </c>
      <c r="R8" s="344">
        <v>12631</v>
      </c>
      <c r="S8" s="30">
        <f t="shared" si="1"/>
        <v>0</v>
      </c>
      <c r="T8" s="30" t="s">
        <v>843</v>
      </c>
      <c r="U8" s="30" t="s">
        <v>204</v>
      </c>
      <c r="V8" s="322"/>
    </row>
    <row r="9" spans="1:22">
      <c r="B9" s="155" t="s">
        <v>212</v>
      </c>
      <c r="C9" s="155" t="s">
        <v>31</v>
      </c>
      <c r="D9" s="155" t="s">
        <v>128</v>
      </c>
      <c r="E9" s="159">
        <v>45876</v>
      </c>
      <c r="F9" s="240" t="s">
        <v>216</v>
      </c>
      <c r="G9" s="155">
        <v>54364</v>
      </c>
      <c r="H9" s="419">
        <v>1547</v>
      </c>
      <c r="I9" s="162"/>
      <c r="J9" s="144">
        <f t="shared" si="0"/>
        <v>52817</v>
      </c>
      <c r="K9" s="140"/>
      <c r="L9" s="141">
        <v>45887</v>
      </c>
      <c r="M9" s="145">
        <v>0</v>
      </c>
      <c r="N9" s="145">
        <v>0</v>
      </c>
      <c r="O9" s="140"/>
      <c r="P9" s="21">
        <v>52817</v>
      </c>
      <c r="Q9" s="21"/>
      <c r="R9" s="21"/>
      <c r="S9" s="146">
        <f t="shared" si="1"/>
        <v>0</v>
      </c>
      <c r="T9" s="21" t="s">
        <v>204</v>
      </c>
      <c r="U9" s="11" t="s">
        <v>204</v>
      </c>
      <c r="V9" s="194">
        <v>45903</v>
      </c>
    </row>
    <row r="10" spans="1:22">
      <c r="B10" s="155" t="s">
        <v>213</v>
      </c>
      <c r="C10" s="155" t="s">
        <v>31</v>
      </c>
      <c r="D10" s="155" t="s">
        <v>128</v>
      </c>
      <c r="E10" s="159">
        <v>45876</v>
      </c>
      <c r="F10" s="240" t="s">
        <v>217</v>
      </c>
      <c r="G10" s="155">
        <v>43660</v>
      </c>
      <c r="H10" s="419"/>
      <c r="I10" s="162"/>
      <c r="J10" s="144">
        <f t="shared" si="0"/>
        <v>43660</v>
      </c>
      <c r="K10" s="140"/>
      <c r="L10" s="141">
        <v>45887</v>
      </c>
      <c r="M10" s="145">
        <v>0</v>
      </c>
      <c r="N10" s="145">
        <v>0</v>
      </c>
      <c r="O10" s="140"/>
      <c r="P10" s="50">
        <v>25000</v>
      </c>
      <c r="Q10" s="21">
        <v>18660</v>
      </c>
      <c r="R10" s="21"/>
      <c r="S10" s="146">
        <f t="shared" si="1"/>
        <v>0</v>
      </c>
      <c r="T10" s="21" t="s">
        <v>204</v>
      </c>
      <c r="U10" s="11" t="s">
        <v>204</v>
      </c>
      <c r="V10" s="193" t="s">
        <v>376</v>
      </c>
    </row>
    <row r="11" spans="1:22">
      <c r="B11" s="155" t="s">
        <v>214</v>
      </c>
      <c r="C11" s="155" t="s">
        <v>31</v>
      </c>
      <c r="D11" s="155" t="s">
        <v>128</v>
      </c>
      <c r="E11" s="159">
        <v>45876</v>
      </c>
      <c r="F11" s="240" t="s">
        <v>218</v>
      </c>
      <c r="G11" s="155">
        <v>162304</v>
      </c>
      <c r="H11" s="419">
        <v>4869</v>
      </c>
      <c r="I11" s="162"/>
      <c r="J11" s="144">
        <f t="shared" si="0"/>
        <v>157435</v>
      </c>
      <c r="K11" s="140"/>
      <c r="L11" s="141">
        <v>45887</v>
      </c>
      <c r="M11" s="145">
        <v>0</v>
      </c>
      <c r="N11" s="145">
        <v>0</v>
      </c>
      <c r="O11" s="140"/>
      <c r="P11" s="21">
        <v>75000</v>
      </c>
      <c r="Q11" s="21">
        <v>82435</v>
      </c>
      <c r="R11" s="21"/>
      <c r="S11" s="146">
        <f t="shared" si="1"/>
        <v>0</v>
      </c>
      <c r="T11" s="21" t="s">
        <v>204</v>
      </c>
      <c r="U11" s="11" t="s">
        <v>204</v>
      </c>
      <c r="V11" s="194">
        <v>45917</v>
      </c>
    </row>
    <row r="12" spans="1:22">
      <c r="B12" s="155" t="s">
        <v>155</v>
      </c>
      <c r="C12" s="155" t="s">
        <v>31</v>
      </c>
      <c r="D12" s="155" t="s">
        <v>128</v>
      </c>
      <c r="E12" s="159">
        <v>45878</v>
      </c>
      <c r="F12" s="240">
        <v>1500</v>
      </c>
      <c r="G12" s="155">
        <v>363277</v>
      </c>
      <c r="H12" s="419">
        <v>10898</v>
      </c>
      <c r="I12" s="162">
        <v>7265</v>
      </c>
      <c r="J12" s="144">
        <f t="shared" si="0"/>
        <v>345114</v>
      </c>
      <c r="K12" s="140"/>
      <c r="L12" s="141">
        <v>45887</v>
      </c>
      <c r="M12" s="145">
        <v>0</v>
      </c>
      <c r="N12" s="145">
        <v>0</v>
      </c>
      <c r="O12" s="140"/>
      <c r="P12" s="50">
        <v>225000</v>
      </c>
      <c r="Q12" s="21">
        <v>25000</v>
      </c>
      <c r="R12" s="21">
        <f>95000+114</f>
        <v>95114</v>
      </c>
      <c r="S12" s="146">
        <f t="shared" si="1"/>
        <v>0</v>
      </c>
      <c r="T12" s="21" t="s">
        <v>204</v>
      </c>
      <c r="U12" s="11" t="s">
        <v>204</v>
      </c>
      <c r="V12" s="193" t="s">
        <v>399</v>
      </c>
    </row>
    <row r="13" spans="1:22">
      <c r="B13" s="155" t="s">
        <v>232</v>
      </c>
      <c r="C13" s="155" t="s">
        <v>31</v>
      </c>
      <c r="D13" s="155" t="s">
        <v>128</v>
      </c>
      <c r="E13" s="159">
        <v>45880</v>
      </c>
      <c r="F13" s="240" t="s">
        <v>234</v>
      </c>
      <c r="G13" s="155">
        <v>23548</v>
      </c>
      <c r="H13" s="419"/>
      <c r="I13" s="162"/>
      <c r="J13" s="144">
        <f t="shared" si="0"/>
        <v>23548</v>
      </c>
      <c r="K13" s="140"/>
      <c r="L13" s="141">
        <v>45890</v>
      </c>
      <c r="M13" s="145">
        <v>0</v>
      </c>
      <c r="N13" s="145">
        <v>0</v>
      </c>
      <c r="O13" s="140"/>
      <c r="P13" s="21">
        <v>23548</v>
      </c>
      <c r="Q13" s="21"/>
      <c r="R13" s="21"/>
      <c r="S13" s="146">
        <f t="shared" si="1"/>
        <v>0</v>
      </c>
      <c r="T13" s="21" t="s">
        <v>204</v>
      </c>
      <c r="U13" s="11" t="s">
        <v>204</v>
      </c>
      <c r="V13" s="194">
        <v>45901</v>
      </c>
    </row>
    <row r="14" spans="1:22">
      <c r="B14" s="155" t="s">
        <v>233</v>
      </c>
      <c r="C14" s="155" t="s">
        <v>31</v>
      </c>
      <c r="D14" s="155" t="s">
        <v>128</v>
      </c>
      <c r="E14" s="159">
        <v>45880</v>
      </c>
      <c r="F14" s="240" t="s">
        <v>235</v>
      </c>
      <c r="G14" s="155">
        <v>32924</v>
      </c>
      <c r="H14" s="419">
        <v>987</v>
      </c>
      <c r="I14" s="162"/>
      <c r="J14" s="144">
        <f t="shared" si="0"/>
        <v>31937</v>
      </c>
      <c r="K14" s="140"/>
      <c r="L14" s="141">
        <v>45890</v>
      </c>
      <c r="M14" s="145">
        <v>0</v>
      </c>
      <c r="N14" s="145">
        <v>0</v>
      </c>
      <c r="O14" s="140"/>
      <c r="P14" s="21">
        <v>31937</v>
      </c>
      <c r="Q14" s="21"/>
      <c r="R14" s="21"/>
      <c r="S14" s="146">
        <f t="shared" si="1"/>
        <v>0</v>
      </c>
      <c r="T14" s="21" t="s">
        <v>204</v>
      </c>
      <c r="U14" s="11" t="s">
        <v>204</v>
      </c>
      <c r="V14" s="194">
        <v>45903</v>
      </c>
    </row>
    <row r="15" spans="1:22">
      <c r="B15" s="155" t="s">
        <v>149</v>
      </c>
      <c r="C15" s="155" t="s">
        <v>31</v>
      </c>
      <c r="D15" s="155" t="s">
        <v>128</v>
      </c>
      <c r="E15" s="159">
        <v>45880</v>
      </c>
      <c r="F15" s="240" t="s">
        <v>236</v>
      </c>
      <c r="G15" s="155">
        <v>31586</v>
      </c>
      <c r="H15" s="419">
        <v>816</v>
      </c>
      <c r="I15" s="162"/>
      <c r="J15" s="144">
        <f t="shared" si="0"/>
        <v>30770</v>
      </c>
      <c r="K15" s="140"/>
      <c r="L15" s="141">
        <v>45890</v>
      </c>
      <c r="M15" s="145">
        <v>0</v>
      </c>
      <c r="N15" s="145">
        <v>0</v>
      </c>
      <c r="O15" s="140"/>
      <c r="P15" s="29">
        <v>30770</v>
      </c>
      <c r="Q15" s="21"/>
      <c r="R15" s="21"/>
      <c r="S15" s="146">
        <f t="shared" si="1"/>
        <v>0</v>
      </c>
      <c r="T15" s="21" t="s">
        <v>342</v>
      </c>
      <c r="U15" s="11" t="s">
        <v>204</v>
      </c>
      <c r="V15" s="193"/>
    </row>
    <row r="16" spans="1:22">
      <c r="B16" s="155" t="s">
        <v>39</v>
      </c>
      <c r="C16" s="155" t="s">
        <v>63</v>
      </c>
      <c r="D16" s="155" t="s">
        <v>64</v>
      </c>
      <c r="E16" s="159">
        <v>45882</v>
      </c>
      <c r="F16" s="240" t="s">
        <v>252</v>
      </c>
      <c r="G16" s="155">
        <v>7962</v>
      </c>
      <c r="H16" s="419"/>
      <c r="I16" s="162"/>
      <c r="J16" s="144">
        <f t="shared" si="0"/>
        <v>7962</v>
      </c>
      <c r="K16" s="140"/>
      <c r="L16" s="141">
        <v>45890</v>
      </c>
      <c r="M16" s="145">
        <v>0</v>
      </c>
      <c r="N16" s="145">
        <v>0</v>
      </c>
      <c r="O16" s="140"/>
      <c r="P16" s="21">
        <v>3474</v>
      </c>
      <c r="Q16" s="21">
        <v>4488</v>
      </c>
      <c r="R16" s="21"/>
      <c r="S16" s="146">
        <f t="shared" si="1"/>
        <v>0</v>
      </c>
      <c r="T16" s="21" t="s">
        <v>204</v>
      </c>
      <c r="U16" s="11" t="s">
        <v>204</v>
      </c>
      <c r="V16" s="193"/>
    </row>
    <row r="17" spans="2:22">
      <c r="B17" s="155" t="s">
        <v>262</v>
      </c>
      <c r="C17" s="155" t="s">
        <v>31</v>
      </c>
      <c r="D17" s="155" t="s">
        <v>128</v>
      </c>
      <c r="E17" s="159">
        <v>45884</v>
      </c>
      <c r="F17" s="240" t="s">
        <v>276</v>
      </c>
      <c r="G17" s="155">
        <v>128207</v>
      </c>
      <c r="H17" s="419"/>
      <c r="I17" s="162"/>
      <c r="J17" s="144">
        <f t="shared" si="0"/>
        <v>128207</v>
      </c>
      <c r="K17" s="140"/>
      <c r="L17" s="141">
        <v>45893</v>
      </c>
      <c r="M17" s="145">
        <v>0</v>
      </c>
      <c r="N17" s="145">
        <v>0</v>
      </c>
      <c r="O17" s="140"/>
      <c r="P17" s="21">
        <v>128207</v>
      </c>
      <c r="Q17" s="21"/>
      <c r="R17" s="21"/>
      <c r="S17" s="146">
        <f t="shared" si="1"/>
        <v>0</v>
      </c>
      <c r="T17" s="21" t="s">
        <v>464</v>
      </c>
      <c r="U17" s="11" t="s">
        <v>204</v>
      </c>
      <c r="V17" s="193"/>
    </row>
    <row r="18" spans="2:22">
      <c r="B18" s="155" t="s">
        <v>211</v>
      </c>
      <c r="C18" s="155" t="s">
        <v>31</v>
      </c>
      <c r="D18" s="155" t="s">
        <v>128</v>
      </c>
      <c r="E18" s="159">
        <v>45884</v>
      </c>
      <c r="F18" s="240" t="s">
        <v>277</v>
      </c>
      <c r="G18" s="155">
        <v>256564</v>
      </c>
      <c r="H18" s="419">
        <v>8433</v>
      </c>
      <c r="I18" s="162">
        <v>5131</v>
      </c>
      <c r="J18" s="144">
        <f t="shared" si="0"/>
        <v>243000</v>
      </c>
      <c r="K18" s="140"/>
      <c r="L18" s="141">
        <v>45893</v>
      </c>
      <c r="M18" s="145">
        <v>0</v>
      </c>
      <c r="N18" s="145">
        <v>0</v>
      </c>
      <c r="O18" s="140"/>
      <c r="P18" s="30">
        <v>243000</v>
      </c>
      <c r="Q18" s="21"/>
      <c r="R18" s="21"/>
      <c r="S18" s="146">
        <f t="shared" si="1"/>
        <v>0</v>
      </c>
      <c r="T18" s="21" t="s">
        <v>204</v>
      </c>
      <c r="U18" s="11" t="s">
        <v>204</v>
      </c>
      <c r="V18" s="194">
        <v>45930</v>
      </c>
    </row>
    <row r="19" spans="2:22">
      <c r="B19" s="155" t="s">
        <v>263</v>
      </c>
      <c r="C19" s="155" t="s">
        <v>31</v>
      </c>
      <c r="D19" s="155" t="s">
        <v>128</v>
      </c>
      <c r="E19" s="159">
        <v>45884</v>
      </c>
      <c r="F19" s="240" t="s">
        <v>275</v>
      </c>
      <c r="G19" s="155">
        <v>62243</v>
      </c>
      <c r="H19" s="419">
        <v>1243</v>
      </c>
      <c r="I19" s="162"/>
      <c r="J19" s="144">
        <f t="shared" si="0"/>
        <v>61000</v>
      </c>
      <c r="K19" s="140"/>
      <c r="L19" s="141">
        <v>45893</v>
      </c>
      <c r="M19" s="145">
        <v>0</v>
      </c>
      <c r="N19" s="145">
        <v>0</v>
      </c>
      <c r="O19" s="140"/>
      <c r="P19" s="21">
        <v>61000</v>
      </c>
      <c r="Q19" s="21"/>
      <c r="R19" s="21"/>
      <c r="S19" s="146">
        <f t="shared" si="1"/>
        <v>0</v>
      </c>
      <c r="T19" s="21" t="s">
        <v>204</v>
      </c>
      <c r="U19" s="11" t="s">
        <v>204</v>
      </c>
      <c r="V19" s="194">
        <v>45913</v>
      </c>
    </row>
    <row r="20" spans="2:22">
      <c r="B20" s="155" t="s">
        <v>90</v>
      </c>
      <c r="C20" s="155" t="s">
        <v>31</v>
      </c>
      <c r="D20" s="155" t="s">
        <v>128</v>
      </c>
      <c r="E20" s="159">
        <v>45885</v>
      </c>
      <c r="F20" s="240" t="s">
        <v>274</v>
      </c>
      <c r="G20" s="155">
        <v>54940</v>
      </c>
      <c r="H20" s="419">
        <v>1098</v>
      </c>
      <c r="I20" s="162"/>
      <c r="J20" s="144">
        <f t="shared" si="0"/>
        <v>53842</v>
      </c>
      <c r="K20" s="140"/>
      <c r="L20" s="141">
        <v>45893</v>
      </c>
      <c r="M20" s="145">
        <v>0</v>
      </c>
      <c r="N20" s="145">
        <v>0</v>
      </c>
      <c r="O20" s="140"/>
      <c r="P20" s="21">
        <v>53842</v>
      </c>
      <c r="Q20" s="21"/>
      <c r="R20" s="21"/>
      <c r="S20" s="146">
        <f t="shared" si="1"/>
        <v>0</v>
      </c>
      <c r="T20" s="21" t="s">
        <v>204</v>
      </c>
      <c r="U20" s="11" t="s">
        <v>204</v>
      </c>
      <c r="V20" s="193" t="s">
        <v>376</v>
      </c>
    </row>
    <row r="21" spans="2:22">
      <c r="B21" s="155" t="s">
        <v>222</v>
      </c>
      <c r="C21" s="155" t="s">
        <v>31</v>
      </c>
      <c r="D21" s="155" t="s">
        <v>128</v>
      </c>
      <c r="E21" s="159">
        <v>45885</v>
      </c>
      <c r="F21" s="240" t="s">
        <v>273</v>
      </c>
      <c r="G21" s="155">
        <v>38498</v>
      </c>
      <c r="H21" s="419"/>
      <c r="I21" s="162"/>
      <c r="J21" s="144">
        <f t="shared" si="0"/>
        <v>38498</v>
      </c>
      <c r="K21" s="140"/>
      <c r="L21" s="141">
        <v>45893</v>
      </c>
      <c r="M21" s="145">
        <v>0</v>
      </c>
      <c r="N21" s="145">
        <v>0</v>
      </c>
      <c r="O21" s="140"/>
      <c r="P21" s="50">
        <v>15000</v>
      </c>
      <c r="Q21" s="21">
        <v>498</v>
      </c>
      <c r="R21" s="21">
        <v>23000</v>
      </c>
      <c r="S21" s="146">
        <f t="shared" si="1"/>
        <v>0</v>
      </c>
      <c r="T21" s="21" t="s">
        <v>204</v>
      </c>
      <c r="U21" s="11" t="s">
        <v>204</v>
      </c>
      <c r="V21" s="194">
        <v>45902</v>
      </c>
    </row>
    <row r="22" spans="2:22">
      <c r="B22" s="155" t="s">
        <v>278</v>
      </c>
      <c r="C22" s="155" t="s">
        <v>31</v>
      </c>
      <c r="D22" s="155" t="s">
        <v>128</v>
      </c>
      <c r="E22" s="159">
        <v>45886</v>
      </c>
      <c r="F22" s="240" t="s">
        <v>280</v>
      </c>
      <c r="G22" s="155">
        <v>50937</v>
      </c>
      <c r="H22" s="419"/>
      <c r="I22" s="162"/>
      <c r="J22" s="144">
        <f t="shared" si="0"/>
        <v>50937</v>
      </c>
      <c r="K22" s="140"/>
      <c r="L22" s="141">
        <v>45895</v>
      </c>
      <c r="M22" s="145">
        <v>0</v>
      </c>
      <c r="N22" s="145">
        <v>0</v>
      </c>
      <c r="O22" s="140"/>
      <c r="P22" s="21">
        <v>50937</v>
      </c>
      <c r="Q22" s="21"/>
      <c r="R22" s="21"/>
      <c r="S22" s="146">
        <f t="shared" si="1"/>
        <v>0</v>
      </c>
      <c r="T22" s="21" t="s">
        <v>204</v>
      </c>
      <c r="U22" s="11" t="s">
        <v>204</v>
      </c>
      <c r="V22" s="194">
        <v>45909</v>
      </c>
    </row>
    <row r="23" spans="2:22">
      <c r="B23" s="155" t="s">
        <v>279</v>
      </c>
      <c r="C23" s="155" t="s">
        <v>31</v>
      </c>
      <c r="D23" s="155" t="s">
        <v>128</v>
      </c>
      <c r="E23" s="159">
        <v>45886</v>
      </c>
      <c r="F23" s="240" t="s">
        <v>283</v>
      </c>
      <c r="G23" s="155">
        <v>2664</v>
      </c>
      <c r="H23" s="419"/>
      <c r="I23" s="162"/>
      <c r="J23" s="144">
        <f t="shared" si="0"/>
        <v>2664</v>
      </c>
      <c r="K23" s="140"/>
      <c r="L23" s="141">
        <v>45895</v>
      </c>
      <c r="M23" s="145">
        <v>0</v>
      </c>
      <c r="N23" s="145">
        <v>0</v>
      </c>
      <c r="O23" s="140"/>
      <c r="P23" s="21">
        <v>2664</v>
      </c>
      <c r="Q23" s="21"/>
      <c r="R23" s="21"/>
      <c r="S23" s="146">
        <f t="shared" si="1"/>
        <v>0</v>
      </c>
      <c r="T23" s="21" t="s">
        <v>204</v>
      </c>
      <c r="U23" s="11" t="s">
        <v>204</v>
      </c>
      <c r="V23" s="194">
        <v>45905</v>
      </c>
    </row>
    <row r="24" spans="2:22">
      <c r="B24" s="155" t="s">
        <v>157</v>
      </c>
      <c r="C24" s="155" t="s">
        <v>31</v>
      </c>
      <c r="D24" s="155" t="s">
        <v>128</v>
      </c>
      <c r="E24" s="159">
        <v>45886</v>
      </c>
      <c r="F24" s="240" t="s">
        <v>281</v>
      </c>
      <c r="G24" s="155">
        <v>71779</v>
      </c>
      <c r="H24" s="419"/>
      <c r="I24" s="162"/>
      <c r="J24" s="144">
        <f t="shared" si="0"/>
        <v>71779</v>
      </c>
      <c r="K24" s="140"/>
      <c r="L24" s="141">
        <v>45895</v>
      </c>
      <c r="M24" s="145">
        <v>0</v>
      </c>
      <c r="N24" s="145">
        <v>0</v>
      </c>
      <c r="O24" s="140"/>
      <c r="P24" s="95">
        <v>71779</v>
      </c>
      <c r="Q24" s="30"/>
      <c r="R24" s="30"/>
      <c r="S24" s="146">
        <f t="shared" si="1"/>
        <v>0</v>
      </c>
      <c r="T24" s="21" t="s">
        <v>204</v>
      </c>
      <c r="U24" s="11" t="s">
        <v>204</v>
      </c>
      <c r="V24" s="193" t="s">
        <v>350</v>
      </c>
    </row>
    <row r="25" spans="2:22">
      <c r="B25" s="155" t="s">
        <v>156</v>
      </c>
      <c r="C25" s="155" t="s">
        <v>31</v>
      </c>
      <c r="D25" s="155" t="s">
        <v>128</v>
      </c>
      <c r="E25" s="159">
        <v>45886</v>
      </c>
      <c r="F25" s="240" t="s">
        <v>282</v>
      </c>
      <c r="G25" s="155">
        <v>1402779</v>
      </c>
      <c r="H25" s="419">
        <v>42083</v>
      </c>
      <c r="I25" s="162">
        <v>28044</v>
      </c>
      <c r="J25" s="144">
        <v>1325520</v>
      </c>
      <c r="K25" s="140"/>
      <c r="L25" s="141">
        <v>45895</v>
      </c>
      <c r="M25" s="145">
        <v>0</v>
      </c>
      <c r="N25" s="145">
        <v>0</v>
      </c>
      <c r="O25" s="140"/>
      <c r="P25" s="50">
        <v>310230</v>
      </c>
      <c r="Q25" s="50">
        <v>489720</v>
      </c>
      <c r="R25" s="50">
        <v>525570</v>
      </c>
      <c r="S25" s="146">
        <f t="shared" si="1"/>
        <v>0</v>
      </c>
      <c r="T25" s="21" t="s">
        <v>204</v>
      </c>
      <c r="U25" s="11" t="s">
        <v>204</v>
      </c>
      <c r="V25" s="194">
        <v>45902</v>
      </c>
    </row>
    <row r="26" spans="2:22">
      <c r="B26" s="155" t="s">
        <v>109</v>
      </c>
      <c r="C26" s="155" t="s">
        <v>31</v>
      </c>
      <c r="D26" s="155" t="s">
        <v>128</v>
      </c>
      <c r="E26" s="159">
        <v>45887</v>
      </c>
      <c r="F26" s="240">
        <v>1860</v>
      </c>
      <c r="G26" s="155">
        <v>14475</v>
      </c>
      <c r="H26" s="419"/>
      <c r="I26" s="162"/>
      <c r="J26" s="144">
        <f t="shared" si="0"/>
        <v>14475</v>
      </c>
      <c r="K26" s="140"/>
      <c r="L26" s="141">
        <v>45899</v>
      </c>
      <c r="M26" s="145">
        <v>0</v>
      </c>
      <c r="N26" s="145">
        <v>0</v>
      </c>
      <c r="O26" s="140"/>
      <c r="P26" s="21">
        <v>14475</v>
      </c>
      <c r="Q26" s="21"/>
      <c r="R26" s="21"/>
      <c r="S26" s="146">
        <f t="shared" si="1"/>
        <v>0</v>
      </c>
      <c r="T26" s="21" t="s">
        <v>342</v>
      </c>
      <c r="U26" s="11" t="s">
        <v>204</v>
      </c>
      <c r="V26" s="193"/>
    </row>
    <row r="27" spans="2:22">
      <c r="B27" s="155" t="s">
        <v>292</v>
      </c>
      <c r="C27" s="155" t="s">
        <v>31</v>
      </c>
      <c r="D27" s="155" t="s">
        <v>128</v>
      </c>
      <c r="E27" s="159">
        <v>45887</v>
      </c>
      <c r="F27" s="240">
        <v>1870</v>
      </c>
      <c r="G27" s="155">
        <v>23258</v>
      </c>
      <c r="H27" s="419">
        <v>697</v>
      </c>
      <c r="I27" s="162"/>
      <c r="J27" s="144">
        <f t="shared" si="0"/>
        <v>22561</v>
      </c>
      <c r="K27" s="140"/>
      <c r="L27" s="141">
        <v>45899</v>
      </c>
      <c r="M27" s="145">
        <v>0</v>
      </c>
      <c r="N27" s="145">
        <v>0</v>
      </c>
      <c r="O27" s="140"/>
      <c r="P27" s="21">
        <v>22561</v>
      </c>
      <c r="Q27" s="21"/>
      <c r="R27" s="21"/>
      <c r="S27" s="146">
        <f t="shared" si="1"/>
        <v>0</v>
      </c>
      <c r="T27" s="21" t="s">
        <v>204</v>
      </c>
      <c r="U27" s="11" t="s">
        <v>204</v>
      </c>
      <c r="V27" s="193" t="s">
        <v>376</v>
      </c>
    </row>
    <row r="28" spans="2:22">
      <c r="B28" s="155" t="s">
        <v>108</v>
      </c>
      <c r="C28" s="155" t="s">
        <v>31</v>
      </c>
      <c r="D28" s="155" t="s">
        <v>128</v>
      </c>
      <c r="E28" s="159">
        <v>45887</v>
      </c>
      <c r="F28" s="240">
        <v>1900</v>
      </c>
      <c r="G28" s="155">
        <v>290194</v>
      </c>
      <c r="H28" s="419">
        <v>8810</v>
      </c>
      <c r="I28" s="162">
        <v>5804</v>
      </c>
      <c r="J28" s="144">
        <f t="shared" si="0"/>
        <v>275580</v>
      </c>
      <c r="K28" s="140"/>
      <c r="L28" s="141">
        <v>45899</v>
      </c>
      <c r="M28" s="145">
        <v>0</v>
      </c>
      <c r="N28" s="145">
        <v>0</v>
      </c>
      <c r="O28" s="140"/>
      <c r="P28" s="21">
        <v>200000</v>
      </c>
      <c r="Q28" s="21">
        <v>75580</v>
      </c>
      <c r="R28" s="21"/>
      <c r="S28" s="146">
        <f t="shared" si="1"/>
        <v>0</v>
      </c>
      <c r="T28" s="21" t="s">
        <v>204</v>
      </c>
      <c r="U28" s="11" t="s">
        <v>204</v>
      </c>
      <c r="V28" s="194">
        <v>45918</v>
      </c>
    </row>
    <row r="29" spans="2:22">
      <c r="B29" s="155" t="s">
        <v>293</v>
      </c>
      <c r="C29" s="155" t="s">
        <v>31</v>
      </c>
      <c r="D29" s="155" t="s">
        <v>128</v>
      </c>
      <c r="E29" s="159">
        <v>45887</v>
      </c>
      <c r="F29" s="240">
        <v>1880</v>
      </c>
      <c r="G29" s="155">
        <v>17308</v>
      </c>
      <c r="H29" s="419"/>
      <c r="I29" s="162"/>
      <c r="J29" s="144">
        <f t="shared" si="0"/>
        <v>17308</v>
      </c>
      <c r="K29" s="140"/>
      <c r="L29" s="141">
        <v>45899</v>
      </c>
      <c r="M29" s="145">
        <v>0</v>
      </c>
      <c r="N29" s="145">
        <v>0</v>
      </c>
      <c r="O29" s="140"/>
      <c r="P29" s="30">
        <v>17308</v>
      </c>
      <c r="Q29" s="30"/>
      <c r="R29" s="30"/>
      <c r="S29" s="146">
        <f t="shared" si="1"/>
        <v>0</v>
      </c>
      <c r="T29" s="21" t="s">
        <v>204</v>
      </c>
      <c r="U29" s="11" t="s">
        <v>204</v>
      </c>
      <c r="V29" s="193" t="s">
        <v>350</v>
      </c>
    </row>
    <row r="30" spans="2:22">
      <c r="B30" s="155" t="s">
        <v>168</v>
      </c>
      <c r="C30" s="155" t="s">
        <v>31</v>
      </c>
      <c r="D30" s="155" t="s">
        <v>128</v>
      </c>
      <c r="E30" s="159">
        <v>45887</v>
      </c>
      <c r="F30" s="240">
        <v>1910</v>
      </c>
      <c r="G30" s="155">
        <v>49300</v>
      </c>
      <c r="H30" s="419"/>
      <c r="I30" s="162"/>
      <c r="J30" s="144">
        <f t="shared" si="0"/>
        <v>49300</v>
      </c>
      <c r="K30" s="140"/>
      <c r="L30" s="141">
        <v>45899</v>
      </c>
      <c r="M30" s="145">
        <v>0</v>
      </c>
      <c r="N30" s="145">
        <v>0</v>
      </c>
      <c r="O30" s="140"/>
      <c r="P30" s="21">
        <v>25300</v>
      </c>
      <c r="Q30" s="21">
        <v>24000</v>
      </c>
      <c r="R30" s="21"/>
      <c r="S30" s="146">
        <f t="shared" si="1"/>
        <v>0</v>
      </c>
      <c r="T30" s="21" t="s">
        <v>204</v>
      </c>
      <c r="U30" s="11" t="s">
        <v>204</v>
      </c>
      <c r="V30" s="194">
        <v>45911</v>
      </c>
    </row>
    <row r="31" spans="2:22">
      <c r="B31" s="155" t="s">
        <v>305</v>
      </c>
      <c r="C31" s="155" t="s">
        <v>31</v>
      </c>
      <c r="D31" s="155" t="s">
        <v>128</v>
      </c>
      <c r="E31" s="159">
        <v>45890</v>
      </c>
      <c r="F31" s="240" t="s">
        <v>307</v>
      </c>
      <c r="G31" s="155">
        <v>69178</v>
      </c>
      <c r="H31" s="419">
        <v>2075</v>
      </c>
      <c r="I31" s="162"/>
      <c r="J31" s="144">
        <f t="shared" si="0"/>
        <v>67103</v>
      </c>
      <c r="K31" s="140"/>
      <c r="L31" s="141">
        <v>45899</v>
      </c>
      <c r="M31" s="145">
        <v>0</v>
      </c>
      <c r="N31" s="145">
        <v>0</v>
      </c>
      <c r="O31" s="140"/>
      <c r="P31" s="21">
        <v>67103</v>
      </c>
      <c r="Q31" s="21"/>
      <c r="R31" s="21"/>
      <c r="S31" s="146">
        <f t="shared" si="1"/>
        <v>0</v>
      </c>
      <c r="T31" s="21" t="s">
        <v>204</v>
      </c>
      <c r="U31" s="11" t="s">
        <v>204</v>
      </c>
      <c r="V31" s="193" t="s">
        <v>369</v>
      </c>
    </row>
    <row r="32" spans="2:22">
      <c r="B32" s="155" t="s">
        <v>306</v>
      </c>
      <c r="C32" s="155" t="s">
        <v>31</v>
      </c>
      <c r="D32" s="155" t="s">
        <v>128</v>
      </c>
      <c r="E32" s="159">
        <v>45890</v>
      </c>
      <c r="F32" s="240" t="s">
        <v>308</v>
      </c>
      <c r="G32" s="155">
        <v>18159</v>
      </c>
      <c r="H32" s="419">
        <v>545</v>
      </c>
      <c r="I32" s="162"/>
      <c r="J32" s="144">
        <f t="shared" si="0"/>
        <v>17614</v>
      </c>
      <c r="K32" s="140"/>
      <c r="L32" s="141">
        <v>45899</v>
      </c>
      <c r="M32" s="145">
        <v>0</v>
      </c>
      <c r="N32" s="145">
        <v>0</v>
      </c>
      <c r="O32" s="140"/>
      <c r="P32" s="21">
        <v>17614</v>
      </c>
      <c r="Q32" s="21"/>
      <c r="R32" s="21"/>
      <c r="S32" s="146">
        <f t="shared" si="1"/>
        <v>0</v>
      </c>
      <c r="T32" s="21" t="s">
        <v>204</v>
      </c>
      <c r="U32" s="11" t="s">
        <v>204</v>
      </c>
      <c r="V32" s="194">
        <v>45911</v>
      </c>
    </row>
    <row r="33" spans="2:22">
      <c r="B33" s="155" t="s">
        <v>207</v>
      </c>
      <c r="C33" s="155" t="s">
        <v>208</v>
      </c>
      <c r="D33" s="155" t="s">
        <v>32</v>
      </c>
      <c r="E33" s="159">
        <v>45890</v>
      </c>
      <c r="F33" s="240" t="s">
        <v>311</v>
      </c>
      <c r="G33" s="155">
        <v>33528</v>
      </c>
      <c r="H33" s="419"/>
      <c r="I33" s="162"/>
      <c r="J33" s="144">
        <f t="shared" si="0"/>
        <v>33528</v>
      </c>
      <c r="K33" s="140"/>
      <c r="L33" s="141">
        <v>45899</v>
      </c>
      <c r="M33" s="145">
        <v>0</v>
      </c>
      <c r="N33" s="145">
        <v>0</v>
      </c>
      <c r="O33" s="140"/>
      <c r="P33" s="21">
        <v>33528</v>
      </c>
      <c r="Q33" s="21"/>
      <c r="R33" s="21"/>
      <c r="S33" s="146">
        <f t="shared" si="1"/>
        <v>0</v>
      </c>
      <c r="T33" s="21" t="s">
        <v>204</v>
      </c>
      <c r="U33" s="11" t="s">
        <v>204</v>
      </c>
      <c r="V33" s="194">
        <v>45912</v>
      </c>
    </row>
    <row r="34" spans="2:22">
      <c r="B34" s="155" t="s">
        <v>315</v>
      </c>
      <c r="C34" s="155" t="s">
        <v>31</v>
      </c>
      <c r="D34" s="155" t="s">
        <v>128</v>
      </c>
      <c r="E34" s="159">
        <v>45891</v>
      </c>
      <c r="F34" s="240">
        <v>2010</v>
      </c>
      <c r="G34" s="155">
        <v>102782</v>
      </c>
      <c r="H34" s="419">
        <v>3083</v>
      </c>
      <c r="I34" s="162"/>
      <c r="J34" s="144">
        <f t="shared" si="0"/>
        <v>99699</v>
      </c>
      <c r="K34" s="140"/>
      <c r="L34" s="141">
        <v>45905</v>
      </c>
      <c r="M34" s="145">
        <v>0</v>
      </c>
      <c r="N34" s="145">
        <v>0</v>
      </c>
      <c r="O34" s="140"/>
      <c r="P34" s="21">
        <v>74698</v>
      </c>
      <c r="Q34" s="50">
        <v>25001</v>
      </c>
      <c r="R34" s="21"/>
      <c r="S34" s="146">
        <f t="shared" si="1"/>
        <v>0</v>
      </c>
      <c r="T34" s="21" t="s">
        <v>204</v>
      </c>
      <c r="U34" s="11" t="s">
        <v>204</v>
      </c>
      <c r="V34" s="193" t="s">
        <v>387</v>
      </c>
    </row>
    <row r="35" spans="2:22">
      <c r="B35" s="155" t="s">
        <v>157</v>
      </c>
      <c r="C35" s="155" t="s">
        <v>31</v>
      </c>
      <c r="D35" s="155" t="s">
        <v>128</v>
      </c>
      <c r="E35" s="159">
        <v>45892</v>
      </c>
      <c r="F35" s="240" t="s">
        <v>336</v>
      </c>
      <c r="G35" s="155">
        <v>81916</v>
      </c>
      <c r="H35" s="419"/>
      <c r="I35" s="162"/>
      <c r="J35" s="144">
        <f t="shared" si="0"/>
        <v>81916</v>
      </c>
      <c r="K35" s="140"/>
      <c r="L35" s="141">
        <v>45905</v>
      </c>
      <c r="M35" s="145">
        <v>0</v>
      </c>
      <c r="N35" s="145">
        <v>0</v>
      </c>
      <c r="O35" s="140"/>
      <c r="P35" s="21">
        <v>81916</v>
      </c>
      <c r="Q35" s="21"/>
      <c r="R35" s="21"/>
      <c r="S35" s="146">
        <f t="shared" si="1"/>
        <v>0</v>
      </c>
      <c r="T35" s="21" t="s">
        <v>204</v>
      </c>
      <c r="U35" s="11" t="s">
        <v>204</v>
      </c>
      <c r="V35" s="194">
        <v>45902</v>
      </c>
    </row>
    <row r="36" spans="2:22">
      <c r="B36" s="155" t="s">
        <v>427</v>
      </c>
      <c r="C36" s="155" t="s">
        <v>31</v>
      </c>
      <c r="D36" s="155" t="s">
        <v>128</v>
      </c>
      <c r="E36" s="159">
        <v>45892</v>
      </c>
      <c r="F36" s="240" t="s">
        <v>337</v>
      </c>
      <c r="G36" s="155">
        <v>23787</v>
      </c>
      <c r="H36" s="419">
        <v>557</v>
      </c>
      <c r="I36" s="162"/>
      <c r="J36" s="144">
        <f t="shared" si="0"/>
        <v>23230</v>
      </c>
      <c r="K36" s="140"/>
      <c r="L36" s="141">
        <v>45905</v>
      </c>
      <c r="M36" s="145">
        <v>0</v>
      </c>
      <c r="N36" s="145">
        <v>0</v>
      </c>
      <c r="O36" s="140"/>
      <c r="P36" s="21">
        <v>23230</v>
      </c>
      <c r="Q36" s="21"/>
      <c r="R36" s="21"/>
      <c r="S36" s="146">
        <f t="shared" si="1"/>
        <v>0</v>
      </c>
      <c r="T36" s="21" t="s">
        <v>204</v>
      </c>
      <c r="U36" s="11" t="s">
        <v>204</v>
      </c>
      <c r="V36" s="194">
        <v>45902</v>
      </c>
    </row>
    <row r="37" spans="2:22">
      <c r="B37" s="155" t="s">
        <v>613</v>
      </c>
      <c r="C37" s="155" t="s">
        <v>31</v>
      </c>
      <c r="D37" s="155" t="s">
        <v>128</v>
      </c>
      <c r="E37" s="159">
        <v>45892</v>
      </c>
      <c r="F37" s="240" t="s">
        <v>338</v>
      </c>
      <c r="G37" s="155">
        <v>76382</v>
      </c>
      <c r="H37" s="419">
        <v>2282</v>
      </c>
      <c r="I37" s="162"/>
      <c r="J37" s="144">
        <f t="shared" si="0"/>
        <v>74100</v>
      </c>
      <c r="K37" s="140"/>
      <c r="L37" s="141">
        <v>45905</v>
      </c>
      <c r="M37" s="145">
        <v>0</v>
      </c>
      <c r="N37" s="145">
        <v>0</v>
      </c>
      <c r="O37" s="140"/>
      <c r="P37" s="21">
        <v>36100</v>
      </c>
      <c r="Q37" s="21">
        <v>38000</v>
      </c>
      <c r="R37" s="21"/>
      <c r="S37" s="146">
        <f t="shared" si="1"/>
        <v>0</v>
      </c>
      <c r="T37" s="21" t="s">
        <v>204</v>
      </c>
      <c r="U37" s="11" t="s">
        <v>204</v>
      </c>
      <c r="V37" s="273">
        <v>45932</v>
      </c>
    </row>
    <row r="38" spans="2:22">
      <c r="B38" s="155" t="s">
        <v>250</v>
      </c>
      <c r="C38" s="155" t="s">
        <v>63</v>
      </c>
      <c r="D38" s="155" t="s">
        <v>64</v>
      </c>
      <c r="E38" s="159">
        <v>45882</v>
      </c>
      <c r="F38" s="240" t="s">
        <v>251</v>
      </c>
      <c r="G38" s="161">
        <v>4826</v>
      </c>
      <c r="H38" s="419"/>
      <c r="I38" s="162"/>
      <c r="J38" s="144">
        <f t="shared" si="0"/>
        <v>4826</v>
      </c>
      <c r="K38" s="140"/>
      <c r="L38" s="152">
        <v>45890</v>
      </c>
      <c r="M38" s="145">
        <v>0</v>
      </c>
      <c r="N38" s="145">
        <v>0</v>
      </c>
      <c r="O38" s="140"/>
      <c r="P38" s="21">
        <v>4000</v>
      </c>
      <c r="Q38" s="21">
        <v>826</v>
      </c>
      <c r="R38" s="21"/>
      <c r="S38" s="146">
        <f t="shared" si="1"/>
        <v>0</v>
      </c>
      <c r="T38" s="30" t="s">
        <v>204</v>
      </c>
      <c r="U38" s="11" t="s">
        <v>204</v>
      </c>
      <c r="V38" s="194">
        <v>45911</v>
      </c>
    </row>
    <row r="39" spans="2:22">
      <c r="B39" s="155" t="s">
        <v>177</v>
      </c>
      <c r="C39" s="155" t="s">
        <v>63</v>
      </c>
      <c r="D39" s="155" t="s">
        <v>64</v>
      </c>
      <c r="E39" s="159">
        <v>45882</v>
      </c>
      <c r="F39" s="240" t="s">
        <v>253</v>
      </c>
      <c r="G39" s="161">
        <v>6323</v>
      </c>
      <c r="H39" s="419"/>
      <c r="I39" s="162"/>
      <c r="J39" s="144">
        <f t="shared" si="0"/>
        <v>6323</v>
      </c>
      <c r="K39" s="140"/>
      <c r="L39" s="152">
        <v>45890</v>
      </c>
      <c r="M39" s="145">
        <v>0</v>
      </c>
      <c r="N39" s="145">
        <v>0</v>
      </c>
      <c r="O39" s="140"/>
      <c r="P39" s="30">
        <v>6323</v>
      </c>
      <c r="Q39" s="30"/>
      <c r="R39" s="30"/>
      <c r="S39" s="146">
        <f t="shared" si="1"/>
        <v>0</v>
      </c>
      <c r="T39" s="30" t="s">
        <v>204</v>
      </c>
      <c r="U39" s="30" t="s">
        <v>204</v>
      </c>
      <c r="V39" s="193" t="s">
        <v>350</v>
      </c>
    </row>
    <row r="40" spans="2:22">
      <c r="B40" s="155" t="s">
        <v>284</v>
      </c>
      <c r="C40" s="155" t="s">
        <v>208</v>
      </c>
      <c r="D40" s="155" t="s">
        <v>32</v>
      </c>
      <c r="E40" s="159">
        <v>45886</v>
      </c>
      <c r="F40" s="240" t="s">
        <v>285</v>
      </c>
      <c r="G40" s="161">
        <v>2953</v>
      </c>
      <c r="H40" s="419"/>
      <c r="I40" s="162"/>
      <c r="J40" s="144">
        <f t="shared" si="0"/>
        <v>2953</v>
      </c>
      <c r="K40" s="140"/>
      <c r="L40" s="152">
        <v>45895</v>
      </c>
      <c r="M40" s="145">
        <v>0</v>
      </c>
      <c r="N40" s="145">
        <v>0</v>
      </c>
      <c r="O40" s="140"/>
      <c r="P40" s="21">
        <v>2953</v>
      </c>
      <c r="Q40" s="21"/>
      <c r="R40" s="21"/>
      <c r="S40" s="146">
        <f t="shared" si="1"/>
        <v>0</v>
      </c>
      <c r="T40" s="30" t="s">
        <v>204</v>
      </c>
      <c r="U40" s="30" t="s">
        <v>204</v>
      </c>
      <c r="V40" s="193" t="s">
        <v>399</v>
      </c>
    </row>
    <row r="41" spans="2:22">
      <c r="B41" s="155" t="s">
        <v>287</v>
      </c>
      <c r="C41" s="155" t="s">
        <v>208</v>
      </c>
      <c r="D41" s="155" t="s">
        <v>32</v>
      </c>
      <c r="E41" s="159">
        <v>45887</v>
      </c>
      <c r="F41" s="240" t="s">
        <v>289</v>
      </c>
      <c r="G41" s="161">
        <v>3862</v>
      </c>
      <c r="H41" s="419"/>
      <c r="I41" s="162"/>
      <c r="J41" s="144">
        <f t="shared" si="0"/>
        <v>3862</v>
      </c>
      <c r="K41" s="140"/>
      <c r="L41" s="152">
        <v>45888</v>
      </c>
      <c r="M41" s="145">
        <v>0</v>
      </c>
      <c r="N41" s="145">
        <v>0</v>
      </c>
      <c r="O41" s="140"/>
      <c r="P41" s="96">
        <v>3862</v>
      </c>
      <c r="Q41" s="30"/>
      <c r="R41" s="30"/>
      <c r="S41" s="146">
        <f t="shared" si="1"/>
        <v>0</v>
      </c>
      <c r="T41" s="30" t="s">
        <v>204</v>
      </c>
      <c r="U41" s="30" t="s">
        <v>204</v>
      </c>
      <c r="V41" s="193"/>
    </row>
    <row r="42" spans="2:22">
      <c r="B42" s="155" t="s">
        <v>288</v>
      </c>
      <c r="C42" s="155" t="s">
        <v>208</v>
      </c>
      <c r="D42" s="155" t="s">
        <v>32</v>
      </c>
      <c r="E42" s="159">
        <v>45887</v>
      </c>
      <c r="F42" s="240" t="s">
        <v>290</v>
      </c>
      <c r="G42" s="161">
        <v>4782</v>
      </c>
      <c r="H42" s="419"/>
      <c r="I42" s="162"/>
      <c r="J42" s="144">
        <f t="shared" si="0"/>
        <v>4782</v>
      </c>
      <c r="K42" s="140"/>
      <c r="L42" s="153">
        <v>45888</v>
      </c>
      <c r="M42" s="145">
        <v>0</v>
      </c>
      <c r="N42" s="145">
        <v>0</v>
      </c>
      <c r="O42" s="140"/>
      <c r="P42" s="96">
        <v>4782</v>
      </c>
      <c r="Q42" s="30"/>
      <c r="R42" s="30"/>
      <c r="S42" s="146">
        <f t="shared" si="1"/>
        <v>0</v>
      </c>
      <c r="T42" s="30" t="s">
        <v>204</v>
      </c>
      <c r="U42" s="30" t="s">
        <v>204</v>
      </c>
      <c r="V42" s="193"/>
    </row>
    <row r="43" spans="2:22">
      <c r="B43" s="155" t="s">
        <v>36</v>
      </c>
      <c r="C43" s="155" t="s">
        <v>31</v>
      </c>
      <c r="D43" s="155" t="s">
        <v>33</v>
      </c>
      <c r="E43" s="196">
        <v>45849</v>
      </c>
      <c r="F43" s="160" t="s">
        <v>398</v>
      </c>
      <c r="G43" s="155">
        <v>74773</v>
      </c>
      <c r="H43" s="419">
        <v>2253</v>
      </c>
      <c r="I43" s="162"/>
      <c r="J43" s="144">
        <f t="shared" si="0"/>
        <v>72520</v>
      </c>
      <c r="K43" s="140"/>
      <c r="L43" s="141">
        <v>45860</v>
      </c>
      <c r="M43" s="145">
        <v>0</v>
      </c>
      <c r="N43" s="145">
        <v>0</v>
      </c>
      <c r="O43" s="140"/>
      <c r="P43" s="21">
        <v>72520</v>
      </c>
      <c r="Q43" s="21"/>
      <c r="R43" s="21"/>
      <c r="S43" s="146">
        <f t="shared" si="1"/>
        <v>0</v>
      </c>
      <c r="T43" s="21" t="s">
        <v>204</v>
      </c>
      <c r="U43" s="21" t="s">
        <v>204</v>
      </c>
      <c r="V43" s="193"/>
    </row>
    <row r="44" spans="2:22">
      <c r="B44" s="155" t="s">
        <v>41</v>
      </c>
      <c r="C44" s="155" t="s">
        <v>31</v>
      </c>
      <c r="D44" s="155" t="s">
        <v>33</v>
      </c>
      <c r="E44" s="196">
        <v>45850</v>
      </c>
      <c r="F44" s="160" t="s">
        <v>40</v>
      </c>
      <c r="G44" s="155">
        <v>612095</v>
      </c>
      <c r="H44" s="419">
        <v>18362</v>
      </c>
      <c r="I44" s="162">
        <v>12242</v>
      </c>
      <c r="J44" s="144">
        <f t="shared" si="0"/>
        <v>581491</v>
      </c>
      <c r="K44" s="140"/>
      <c r="L44" s="141">
        <v>45857</v>
      </c>
      <c r="M44" s="145">
        <v>0</v>
      </c>
      <c r="N44" s="145">
        <v>0</v>
      </c>
      <c r="O44" s="140"/>
      <c r="P44" s="21">
        <v>581491</v>
      </c>
      <c r="Q44" s="21"/>
      <c r="R44" s="21"/>
      <c r="S44" s="146">
        <f t="shared" si="1"/>
        <v>0</v>
      </c>
      <c r="T44" s="21" t="s">
        <v>204</v>
      </c>
      <c r="U44" s="11" t="s">
        <v>204</v>
      </c>
      <c r="V44" s="193"/>
    </row>
    <row r="45" spans="2:22">
      <c r="B45" s="155" t="s">
        <v>47</v>
      </c>
      <c r="C45" s="155" t="s">
        <v>31</v>
      </c>
      <c r="D45" s="155" t="s">
        <v>33</v>
      </c>
      <c r="E45" s="196">
        <v>45850</v>
      </c>
      <c r="F45" s="160" t="s">
        <v>42</v>
      </c>
      <c r="G45" s="155">
        <v>9693</v>
      </c>
      <c r="H45" s="419">
        <v>1290</v>
      </c>
      <c r="I45" s="162"/>
      <c r="J45" s="144">
        <f t="shared" si="0"/>
        <v>8403</v>
      </c>
      <c r="K45" s="140"/>
      <c r="L45" s="141"/>
      <c r="M45" s="145">
        <v>0</v>
      </c>
      <c r="N45" s="145">
        <v>0</v>
      </c>
      <c r="O45" s="140"/>
      <c r="P45" s="21">
        <v>8403</v>
      </c>
      <c r="Q45" s="21"/>
      <c r="R45" s="21"/>
      <c r="S45" s="146">
        <f t="shared" si="1"/>
        <v>0</v>
      </c>
      <c r="T45" s="21" t="s">
        <v>204</v>
      </c>
      <c r="U45" s="11" t="s">
        <v>204</v>
      </c>
      <c r="V45" s="193"/>
    </row>
    <row r="46" spans="2:22">
      <c r="B46" s="155" t="s">
        <v>103</v>
      </c>
      <c r="C46" s="155" t="s">
        <v>31</v>
      </c>
      <c r="D46" s="155" t="s">
        <v>128</v>
      </c>
      <c r="E46" s="196">
        <v>45850</v>
      </c>
      <c r="F46" s="160" t="s">
        <v>104</v>
      </c>
      <c r="G46" s="155">
        <v>300653</v>
      </c>
      <c r="H46" s="419">
        <v>9019</v>
      </c>
      <c r="I46" s="162">
        <v>6013</v>
      </c>
      <c r="J46" s="144">
        <f t="shared" si="0"/>
        <v>285621</v>
      </c>
      <c r="K46" s="140"/>
      <c r="L46" s="141"/>
      <c r="M46" s="145">
        <v>0</v>
      </c>
      <c r="N46" s="145">
        <v>0</v>
      </c>
      <c r="O46" s="140"/>
      <c r="P46" s="21">
        <v>285621</v>
      </c>
      <c r="Q46" s="21"/>
      <c r="R46" s="21"/>
      <c r="S46" s="146">
        <f t="shared" si="1"/>
        <v>0</v>
      </c>
      <c r="T46" s="21" t="s">
        <v>204</v>
      </c>
      <c r="U46" s="11" t="s">
        <v>204</v>
      </c>
      <c r="V46" s="193"/>
    </row>
    <row r="47" spans="2:22">
      <c r="B47" s="155" t="s">
        <v>81</v>
      </c>
      <c r="C47" s="155" t="s">
        <v>31</v>
      </c>
      <c r="D47" s="155" t="s">
        <v>78</v>
      </c>
      <c r="E47" s="196">
        <v>45855</v>
      </c>
      <c r="F47" s="160" t="s">
        <v>82</v>
      </c>
      <c r="G47" s="155">
        <v>9982</v>
      </c>
      <c r="H47" s="419">
        <v>200</v>
      </c>
      <c r="I47" s="162"/>
      <c r="J47" s="144">
        <f t="shared" si="0"/>
        <v>9782</v>
      </c>
      <c r="K47" s="140"/>
      <c r="L47" s="141">
        <v>45865</v>
      </c>
      <c r="M47" s="145">
        <v>0</v>
      </c>
      <c r="N47" s="145">
        <v>0</v>
      </c>
      <c r="O47" s="140"/>
      <c r="P47" s="21">
        <v>9782</v>
      </c>
      <c r="Q47" s="21"/>
      <c r="R47" s="21"/>
      <c r="S47" s="146">
        <f t="shared" si="1"/>
        <v>0</v>
      </c>
      <c r="T47" s="21" t="s">
        <v>204</v>
      </c>
      <c r="U47" s="11" t="s">
        <v>204</v>
      </c>
      <c r="V47" s="193"/>
    </row>
    <row r="48" spans="2:22">
      <c r="B48" s="155" t="s">
        <v>41</v>
      </c>
      <c r="C48" s="155" t="s">
        <v>31</v>
      </c>
      <c r="D48" s="155" t="s">
        <v>26</v>
      </c>
      <c r="E48" s="196">
        <v>45857</v>
      </c>
      <c r="F48" s="160" t="s">
        <v>94</v>
      </c>
      <c r="G48" s="155">
        <v>477432</v>
      </c>
      <c r="H48" s="419">
        <v>14473</v>
      </c>
      <c r="I48" s="162">
        <v>9549</v>
      </c>
      <c r="J48" s="144">
        <f t="shared" si="0"/>
        <v>453410</v>
      </c>
      <c r="K48" s="140"/>
      <c r="L48" s="141">
        <v>45755</v>
      </c>
      <c r="M48" s="145">
        <v>0</v>
      </c>
      <c r="N48" s="145">
        <v>0</v>
      </c>
      <c r="O48" s="140"/>
      <c r="P48" s="21">
        <f>453410-28500</f>
        <v>424910</v>
      </c>
      <c r="Q48" s="21">
        <v>28500</v>
      </c>
      <c r="R48" s="21"/>
      <c r="S48" s="146">
        <f t="shared" si="1"/>
        <v>0</v>
      </c>
      <c r="T48" s="21" t="s">
        <v>324</v>
      </c>
      <c r="U48" s="11" t="s">
        <v>204</v>
      </c>
      <c r="V48" s="193"/>
    </row>
    <row r="49" spans="1:22">
      <c r="B49" s="155" t="s">
        <v>108</v>
      </c>
      <c r="C49" s="155" t="s">
        <v>31</v>
      </c>
      <c r="D49" s="155" t="s">
        <v>49</v>
      </c>
      <c r="E49" s="196">
        <v>45859</v>
      </c>
      <c r="F49" s="160" t="s">
        <v>112</v>
      </c>
      <c r="G49" s="155">
        <v>338896</v>
      </c>
      <c r="H49" s="419">
        <v>10167</v>
      </c>
      <c r="I49" s="162">
        <v>6778</v>
      </c>
      <c r="J49" s="144">
        <f t="shared" si="0"/>
        <v>321951</v>
      </c>
      <c r="K49" s="140"/>
      <c r="L49" s="141">
        <v>45867</v>
      </c>
      <c r="M49" s="145">
        <v>0</v>
      </c>
      <c r="N49" s="145">
        <v>0</v>
      </c>
      <c r="O49" s="140"/>
      <c r="P49" s="21">
        <v>321951</v>
      </c>
      <c r="Q49" s="21"/>
      <c r="R49" s="21"/>
      <c r="S49" s="146">
        <f t="shared" si="1"/>
        <v>0</v>
      </c>
      <c r="T49" s="21" t="s">
        <v>204</v>
      </c>
      <c r="U49" s="11" t="s">
        <v>204</v>
      </c>
      <c r="V49" s="193"/>
    </row>
    <row r="50" spans="1:22">
      <c r="A50" s="140"/>
      <c r="B50" s="155" t="s">
        <v>110</v>
      </c>
      <c r="C50" s="155" t="s">
        <v>31</v>
      </c>
      <c r="D50" s="155" t="s">
        <v>49</v>
      </c>
      <c r="E50" s="196">
        <v>45859</v>
      </c>
      <c r="F50" s="160" t="s">
        <v>111</v>
      </c>
      <c r="G50" s="155">
        <v>11413</v>
      </c>
      <c r="H50" s="419">
        <v>513</v>
      </c>
      <c r="I50" s="162"/>
      <c r="J50" s="144">
        <f t="shared" si="0"/>
        <v>10900</v>
      </c>
      <c r="K50" s="140"/>
      <c r="L50" s="141">
        <v>45867</v>
      </c>
      <c r="M50" s="145">
        <v>0</v>
      </c>
      <c r="N50" s="145">
        <v>0</v>
      </c>
      <c r="O50" s="140"/>
      <c r="P50" s="21">
        <v>10900</v>
      </c>
      <c r="Q50" s="21"/>
      <c r="R50" s="21"/>
      <c r="S50" s="146">
        <f t="shared" si="1"/>
        <v>0</v>
      </c>
      <c r="T50" s="21" t="s">
        <v>204</v>
      </c>
      <c r="U50" s="11"/>
      <c r="V50" s="193"/>
    </row>
    <row r="51" spans="1:22">
      <c r="B51" s="155" t="s">
        <v>34</v>
      </c>
      <c r="C51" s="155" t="s">
        <v>31</v>
      </c>
      <c r="D51" s="155" t="s">
        <v>128</v>
      </c>
      <c r="E51" s="196">
        <v>45862</v>
      </c>
      <c r="F51" s="160" t="s">
        <v>180</v>
      </c>
      <c r="G51" s="155">
        <v>18646</v>
      </c>
      <c r="H51" s="419"/>
      <c r="I51" s="162"/>
      <c r="J51" s="144">
        <f t="shared" si="0"/>
        <v>18646</v>
      </c>
      <c r="K51" s="140"/>
      <c r="L51" s="141"/>
      <c r="M51" s="145">
        <v>0</v>
      </c>
      <c r="N51" s="145">
        <v>0</v>
      </c>
      <c r="O51" s="140"/>
      <c r="P51" s="21">
        <v>18646</v>
      </c>
      <c r="Q51" s="21"/>
      <c r="R51" s="21"/>
      <c r="S51" s="146">
        <f t="shared" si="1"/>
        <v>0</v>
      </c>
      <c r="T51" s="21" t="s">
        <v>204</v>
      </c>
      <c r="U51" s="11" t="s">
        <v>204</v>
      </c>
      <c r="V51" s="193"/>
    </row>
    <row r="52" spans="1:22">
      <c r="A52" s="38"/>
      <c r="B52" s="155" t="s">
        <v>37</v>
      </c>
      <c r="C52" s="155" t="s">
        <v>31</v>
      </c>
      <c r="D52" s="155" t="s">
        <v>128</v>
      </c>
      <c r="E52" s="196">
        <v>45863</v>
      </c>
      <c r="F52" s="160" t="s">
        <v>148</v>
      </c>
      <c r="G52" s="155">
        <v>123757</v>
      </c>
      <c r="H52" s="419">
        <v>13578</v>
      </c>
      <c r="I52" s="162"/>
      <c r="J52" s="144">
        <f t="shared" si="0"/>
        <v>110179</v>
      </c>
      <c r="K52" s="140"/>
      <c r="L52" s="141">
        <v>45874</v>
      </c>
      <c r="M52" s="145">
        <v>0</v>
      </c>
      <c r="N52" s="145">
        <v>0</v>
      </c>
      <c r="O52" s="140"/>
      <c r="P52" s="21">
        <v>110179</v>
      </c>
      <c r="Q52" s="21"/>
      <c r="R52" s="21"/>
      <c r="S52" s="146">
        <f t="shared" si="1"/>
        <v>0</v>
      </c>
      <c r="T52" s="21" t="s">
        <v>239</v>
      </c>
      <c r="U52" s="11" t="s">
        <v>204</v>
      </c>
      <c r="V52" s="193"/>
    </row>
    <row r="53" spans="1:22">
      <c r="B53" s="155" t="s">
        <v>155</v>
      </c>
      <c r="C53" s="155" t="s">
        <v>31</v>
      </c>
      <c r="D53" s="155" t="s">
        <v>128</v>
      </c>
      <c r="E53" s="196">
        <v>45864</v>
      </c>
      <c r="F53" s="160" t="s">
        <v>158</v>
      </c>
      <c r="G53" s="155">
        <v>304432</v>
      </c>
      <c r="H53" s="419">
        <v>9113</v>
      </c>
      <c r="I53" s="162">
        <v>6089</v>
      </c>
      <c r="J53" s="144">
        <f>+G53-H53-I53</f>
        <v>289230</v>
      </c>
      <c r="K53" s="140"/>
      <c r="L53" s="141">
        <v>45875</v>
      </c>
      <c r="M53" s="145">
        <v>0</v>
      </c>
      <c r="N53" s="145">
        <v>0</v>
      </c>
      <c r="O53" s="140"/>
      <c r="P53" s="21">
        <f>289230</f>
        <v>289230</v>
      </c>
      <c r="Q53" s="21"/>
      <c r="R53" s="21"/>
      <c r="S53" s="146">
        <f t="shared" si="1"/>
        <v>0</v>
      </c>
      <c r="T53" s="21" t="s">
        <v>204</v>
      </c>
      <c r="U53" s="11" t="s">
        <v>204</v>
      </c>
      <c r="V53" s="193"/>
    </row>
    <row r="54" spans="1:22">
      <c r="A54" s="140"/>
      <c r="B54" s="155" t="s">
        <v>187</v>
      </c>
      <c r="C54" s="155" t="s">
        <v>31</v>
      </c>
      <c r="D54" s="155" t="s">
        <v>128</v>
      </c>
      <c r="E54" s="196">
        <v>45869</v>
      </c>
      <c r="F54" s="160">
        <v>950</v>
      </c>
      <c r="G54" s="155">
        <v>57743</v>
      </c>
      <c r="H54" s="419">
        <v>4423</v>
      </c>
      <c r="I54" s="162"/>
      <c r="J54" s="144">
        <f t="shared" si="0"/>
        <v>53320</v>
      </c>
      <c r="K54" s="140"/>
      <c r="L54" s="141">
        <v>45873</v>
      </c>
      <c r="M54" s="145">
        <v>0</v>
      </c>
      <c r="N54" s="145">
        <v>0</v>
      </c>
      <c r="O54" s="140"/>
      <c r="P54" s="21">
        <v>53320</v>
      </c>
      <c r="Q54" s="21"/>
      <c r="R54" s="21"/>
      <c r="S54" s="146">
        <f t="shared" si="1"/>
        <v>0</v>
      </c>
      <c r="T54" s="21" t="s">
        <v>204</v>
      </c>
      <c r="U54" s="11" t="s">
        <v>204</v>
      </c>
      <c r="V54" s="193"/>
    </row>
    <row r="55" spans="1:22">
      <c r="B55" s="155" t="s">
        <v>190</v>
      </c>
      <c r="C55" s="155" t="s">
        <v>31</v>
      </c>
      <c r="D55" s="155" t="s">
        <v>128</v>
      </c>
      <c r="E55" s="196">
        <v>45869</v>
      </c>
      <c r="F55" s="160">
        <v>980</v>
      </c>
      <c r="G55" s="155">
        <v>41171</v>
      </c>
      <c r="H55" s="419">
        <v>1235</v>
      </c>
      <c r="I55" s="162">
        <v>823</v>
      </c>
      <c r="J55" s="144">
        <f t="shared" si="0"/>
        <v>39113</v>
      </c>
      <c r="K55" s="140"/>
      <c r="L55" s="141">
        <v>45873</v>
      </c>
      <c r="M55" s="145">
        <v>0</v>
      </c>
      <c r="N55" s="145">
        <v>0</v>
      </c>
      <c r="O55" s="140"/>
      <c r="P55" s="21">
        <v>39113</v>
      </c>
      <c r="Q55" s="21"/>
      <c r="R55" s="21"/>
      <c r="S55" s="146">
        <f t="shared" si="1"/>
        <v>0</v>
      </c>
      <c r="T55" s="21" t="s">
        <v>204</v>
      </c>
      <c r="U55" s="11" t="s">
        <v>204</v>
      </c>
      <c r="V55" s="193"/>
    </row>
    <row r="56" spans="1:22">
      <c r="A56" s="38"/>
      <c r="B56" s="155" t="s">
        <v>194</v>
      </c>
      <c r="C56" s="155" t="s">
        <v>31</v>
      </c>
      <c r="D56" s="155" t="s">
        <v>128</v>
      </c>
      <c r="E56" s="159">
        <v>45870</v>
      </c>
      <c r="F56" s="240" t="s">
        <v>196</v>
      </c>
      <c r="G56" s="155">
        <v>32113</v>
      </c>
      <c r="H56" s="419">
        <v>964</v>
      </c>
      <c r="I56" s="162"/>
      <c r="J56" s="144">
        <f t="shared" si="0"/>
        <v>31149</v>
      </c>
      <c r="K56" s="38"/>
      <c r="L56" s="152">
        <v>45873</v>
      </c>
      <c r="M56" s="145">
        <v>0</v>
      </c>
      <c r="N56" s="145">
        <v>0</v>
      </c>
      <c r="O56" s="38"/>
      <c r="P56" s="30">
        <v>30186</v>
      </c>
      <c r="Q56" s="30"/>
      <c r="R56" s="344">
        <v>963</v>
      </c>
      <c r="S56" s="30">
        <f t="shared" si="1"/>
        <v>0</v>
      </c>
      <c r="T56" s="30" t="s">
        <v>843</v>
      </c>
      <c r="U56" s="30" t="s">
        <v>204</v>
      </c>
      <c r="V56" s="322"/>
    </row>
    <row r="57" spans="1:22">
      <c r="B57" s="155" t="s">
        <v>221</v>
      </c>
      <c r="C57" s="155" t="s">
        <v>31</v>
      </c>
      <c r="D57" s="155" t="s">
        <v>128</v>
      </c>
      <c r="E57" s="159">
        <v>45877</v>
      </c>
      <c r="F57" s="240" t="s">
        <v>225</v>
      </c>
      <c r="G57" s="155">
        <v>168522</v>
      </c>
      <c r="H57" s="419">
        <v>3452</v>
      </c>
      <c r="I57" s="162">
        <v>70</v>
      </c>
      <c r="J57" s="144">
        <f t="shared" si="0"/>
        <v>165000</v>
      </c>
      <c r="K57" s="140"/>
      <c r="L57" s="141">
        <v>45890</v>
      </c>
      <c r="M57" s="145">
        <v>0</v>
      </c>
      <c r="N57" s="145">
        <v>0</v>
      </c>
      <c r="O57" s="140"/>
      <c r="P57" s="21">
        <v>165000</v>
      </c>
      <c r="Q57" s="21"/>
      <c r="R57" s="21"/>
      <c r="S57" s="146">
        <f t="shared" si="1"/>
        <v>0</v>
      </c>
      <c r="T57" s="21" t="s">
        <v>324</v>
      </c>
      <c r="U57" s="11" t="s">
        <v>204</v>
      </c>
      <c r="V57" s="194">
        <v>45968</v>
      </c>
    </row>
    <row r="58" spans="1:22">
      <c r="B58" s="155" t="s">
        <v>36</v>
      </c>
      <c r="C58" s="155" t="s">
        <v>31</v>
      </c>
      <c r="D58" s="155" t="s">
        <v>128</v>
      </c>
      <c r="E58" s="159">
        <v>45877</v>
      </c>
      <c r="F58" s="240" t="s">
        <v>224</v>
      </c>
      <c r="G58" s="155">
        <v>100238</v>
      </c>
      <c r="H58" s="419">
        <v>3007</v>
      </c>
      <c r="I58" s="162"/>
      <c r="J58" s="144">
        <f t="shared" si="0"/>
        <v>97231</v>
      </c>
      <c r="K58" s="140"/>
      <c r="L58" s="141">
        <v>45890</v>
      </c>
      <c r="M58" s="145">
        <v>0</v>
      </c>
      <c r="N58" s="145">
        <v>0</v>
      </c>
      <c r="O58" s="140"/>
      <c r="P58" s="21">
        <v>97231</v>
      </c>
      <c r="Q58" s="21"/>
      <c r="R58" s="21"/>
      <c r="S58" s="146">
        <f t="shared" si="1"/>
        <v>0</v>
      </c>
      <c r="T58" s="21" t="s">
        <v>204</v>
      </c>
      <c r="U58" s="11" t="s">
        <v>204</v>
      </c>
      <c r="V58" s="193"/>
    </row>
    <row r="59" spans="1:22">
      <c r="B59" s="155" t="s">
        <v>156</v>
      </c>
      <c r="C59" s="155" t="s">
        <v>31</v>
      </c>
      <c r="D59" s="155" t="s">
        <v>128</v>
      </c>
      <c r="E59" s="159">
        <v>45878</v>
      </c>
      <c r="F59" s="240">
        <v>1520</v>
      </c>
      <c r="G59" s="155">
        <v>753337</v>
      </c>
      <c r="H59" s="419">
        <v>22662</v>
      </c>
      <c r="I59" s="162">
        <v>15066</v>
      </c>
      <c r="J59" s="144">
        <f t="shared" si="0"/>
        <v>715609</v>
      </c>
      <c r="K59" s="140"/>
      <c r="L59" s="141">
        <v>45887</v>
      </c>
      <c r="M59" s="145">
        <v>0</v>
      </c>
      <c r="N59" s="145">
        <v>0</v>
      </c>
      <c r="O59" s="140"/>
      <c r="P59" s="21">
        <v>712109</v>
      </c>
      <c r="Q59" s="21">
        <v>3500</v>
      </c>
      <c r="R59" s="21"/>
      <c r="S59" s="146">
        <f t="shared" si="1"/>
        <v>0</v>
      </c>
      <c r="T59" s="21" t="s">
        <v>204</v>
      </c>
      <c r="U59" s="11" t="s">
        <v>204</v>
      </c>
      <c r="V59" s="193" t="s">
        <v>376</v>
      </c>
    </row>
    <row r="60" spans="1:22">
      <c r="B60" s="155" t="s">
        <v>243</v>
      </c>
      <c r="C60" s="155" t="s">
        <v>31</v>
      </c>
      <c r="D60" s="155" t="s">
        <v>128</v>
      </c>
      <c r="E60" s="196">
        <v>45868</v>
      </c>
      <c r="F60" s="160" t="s">
        <v>244</v>
      </c>
      <c r="G60" s="155">
        <v>24483</v>
      </c>
      <c r="H60" s="419">
        <v>1224</v>
      </c>
      <c r="I60" s="162"/>
      <c r="J60" s="144">
        <f t="shared" si="0"/>
        <v>23259</v>
      </c>
      <c r="K60" s="140"/>
      <c r="L60" s="141">
        <v>45881</v>
      </c>
      <c r="M60" s="145">
        <v>0</v>
      </c>
      <c r="N60" s="145">
        <v>0</v>
      </c>
      <c r="O60" s="140"/>
      <c r="P60" s="21">
        <v>23259</v>
      </c>
      <c r="Q60" s="21"/>
      <c r="R60" s="21"/>
      <c r="S60" s="146">
        <f t="shared" si="1"/>
        <v>0</v>
      </c>
      <c r="T60" s="21" t="s">
        <v>204</v>
      </c>
      <c r="U60" s="11" t="s">
        <v>204</v>
      </c>
      <c r="V60" s="193"/>
    </row>
    <row r="61" spans="1:22">
      <c r="B61" s="155" t="s">
        <v>205</v>
      </c>
      <c r="C61" s="155" t="s">
        <v>31</v>
      </c>
      <c r="D61" s="155" t="s">
        <v>128</v>
      </c>
      <c r="E61" s="196">
        <v>45868</v>
      </c>
      <c r="F61" s="160" t="s">
        <v>245</v>
      </c>
      <c r="G61" s="155">
        <v>23569</v>
      </c>
      <c r="H61" s="419">
        <v>1178</v>
      </c>
      <c r="I61" s="162"/>
      <c r="J61" s="144">
        <f t="shared" si="0"/>
        <v>22391</v>
      </c>
      <c r="K61" s="140"/>
      <c r="L61" s="141">
        <v>45881</v>
      </c>
      <c r="M61" s="145">
        <v>0</v>
      </c>
      <c r="N61" s="145">
        <v>0</v>
      </c>
      <c r="O61" s="140"/>
      <c r="P61" s="21">
        <v>22391</v>
      </c>
      <c r="Q61" s="21"/>
      <c r="R61" s="21"/>
      <c r="S61" s="146">
        <f t="shared" si="1"/>
        <v>0</v>
      </c>
      <c r="T61" s="21" t="s">
        <v>204</v>
      </c>
      <c r="U61" s="11" t="s">
        <v>204</v>
      </c>
      <c r="V61" s="193"/>
    </row>
    <row r="62" spans="1:22">
      <c r="B62" s="155" t="s">
        <v>246</v>
      </c>
      <c r="C62" s="155" t="s">
        <v>31</v>
      </c>
      <c r="D62" s="155" t="s">
        <v>128</v>
      </c>
      <c r="E62" s="196">
        <v>45868</v>
      </c>
      <c r="F62" s="160" t="s">
        <v>247</v>
      </c>
      <c r="G62" s="155">
        <v>45343</v>
      </c>
      <c r="H62" s="419">
        <v>40991</v>
      </c>
      <c r="I62" s="162"/>
      <c r="J62" s="144">
        <f t="shared" si="0"/>
        <v>4352</v>
      </c>
      <c r="K62" s="140"/>
      <c r="L62" s="141">
        <v>45881</v>
      </c>
      <c r="M62" s="145">
        <v>0</v>
      </c>
      <c r="N62" s="145">
        <v>0</v>
      </c>
      <c r="O62" s="140"/>
      <c r="P62" s="21">
        <v>4352</v>
      </c>
      <c r="Q62" s="21"/>
      <c r="R62" s="21"/>
      <c r="S62" s="146">
        <f t="shared" si="1"/>
        <v>0</v>
      </c>
      <c r="T62" s="21" t="s">
        <v>204</v>
      </c>
      <c r="U62" s="21" t="s">
        <v>204</v>
      </c>
      <c r="V62" s="193"/>
    </row>
    <row r="63" spans="1:22">
      <c r="A63" s="140"/>
      <c r="B63" s="155" t="s">
        <v>223</v>
      </c>
      <c r="C63" s="155" t="s">
        <v>31</v>
      </c>
      <c r="D63" s="155" t="s">
        <v>128</v>
      </c>
      <c r="E63" s="159">
        <v>45885</v>
      </c>
      <c r="F63" s="240" t="s">
        <v>272</v>
      </c>
      <c r="G63" s="155">
        <v>71945</v>
      </c>
      <c r="H63" s="419">
        <v>1945</v>
      </c>
      <c r="I63" s="162"/>
      <c r="J63" s="144">
        <f t="shared" si="0"/>
        <v>70000</v>
      </c>
      <c r="K63" s="140"/>
      <c r="L63" s="141">
        <v>45893</v>
      </c>
      <c r="M63" s="145">
        <v>0</v>
      </c>
      <c r="N63" s="145">
        <v>0</v>
      </c>
      <c r="O63" s="140"/>
      <c r="P63" s="21">
        <v>70000</v>
      </c>
      <c r="Q63" s="21"/>
      <c r="R63" s="21"/>
      <c r="S63" s="146">
        <f t="shared" si="1"/>
        <v>0</v>
      </c>
      <c r="T63" s="21" t="s">
        <v>324</v>
      </c>
      <c r="U63" s="11" t="s">
        <v>204</v>
      </c>
      <c r="V63" s="193"/>
    </row>
    <row r="64" spans="1:22">
      <c r="B64" s="155" t="s">
        <v>194</v>
      </c>
      <c r="C64" s="155" t="s">
        <v>31</v>
      </c>
      <c r="D64" s="155" t="s">
        <v>128</v>
      </c>
      <c r="E64" s="159">
        <v>45885</v>
      </c>
      <c r="F64" s="240" t="s">
        <v>271</v>
      </c>
      <c r="G64" s="155">
        <v>40244</v>
      </c>
      <c r="H64" s="419">
        <v>1214</v>
      </c>
      <c r="I64" s="162"/>
      <c r="J64" s="144">
        <f t="shared" si="0"/>
        <v>39030</v>
      </c>
      <c r="K64" s="140"/>
      <c r="L64" s="141">
        <v>45893</v>
      </c>
      <c r="M64" s="145">
        <v>0</v>
      </c>
      <c r="N64" s="145">
        <v>0</v>
      </c>
      <c r="O64" s="140"/>
      <c r="P64" s="21">
        <v>39030</v>
      </c>
      <c r="Q64" s="21"/>
      <c r="R64" s="21"/>
      <c r="S64" s="146">
        <f t="shared" si="1"/>
        <v>0</v>
      </c>
      <c r="T64" s="21" t="s">
        <v>204</v>
      </c>
      <c r="U64" s="11" t="s">
        <v>204</v>
      </c>
      <c r="V64" s="193"/>
    </row>
    <row r="65" spans="2:22">
      <c r="B65" s="155" t="s">
        <v>269</v>
      </c>
      <c r="C65" s="155" t="s">
        <v>31</v>
      </c>
      <c r="D65" s="155" t="s">
        <v>128</v>
      </c>
      <c r="E65" s="159">
        <v>45885</v>
      </c>
      <c r="F65" s="240" t="s">
        <v>270</v>
      </c>
      <c r="G65" s="155">
        <v>490748</v>
      </c>
      <c r="H65" s="419">
        <v>14722</v>
      </c>
      <c r="I65" s="162">
        <v>9815</v>
      </c>
      <c r="J65" s="144">
        <f t="shared" si="0"/>
        <v>466211</v>
      </c>
      <c r="K65" s="140"/>
      <c r="L65" s="141">
        <v>45893</v>
      </c>
      <c r="M65" s="145">
        <v>0</v>
      </c>
      <c r="N65" s="145">
        <v>0</v>
      </c>
      <c r="O65" s="140"/>
      <c r="P65" s="21">
        <v>187018</v>
      </c>
      <c r="Q65" s="21">
        <v>241588</v>
      </c>
      <c r="R65" s="95">
        <v>24000</v>
      </c>
      <c r="S65" s="146">
        <f t="shared" si="1"/>
        <v>13605</v>
      </c>
      <c r="T65" s="21" t="s">
        <v>324</v>
      </c>
      <c r="U65" s="11" t="s">
        <v>204</v>
      </c>
      <c r="V65" s="194">
        <v>45976</v>
      </c>
    </row>
    <row r="66" spans="2:22">
      <c r="B66" s="155" t="s">
        <v>223</v>
      </c>
      <c r="C66" s="155" t="s">
        <v>31</v>
      </c>
      <c r="D66" s="155" t="s">
        <v>128</v>
      </c>
      <c r="E66" s="159">
        <v>45877</v>
      </c>
      <c r="F66" s="240" t="s">
        <v>339</v>
      </c>
      <c r="G66" s="155">
        <v>114142</v>
      </c>
      <c r="H66" s="419"/>
      <c r="I66" s="162"/>
      <c r="J66" s="144">
        <f t="shared" si="0"/>
        <v>114142</v>
      </c>
      <c r="K66" s="140"/>
      <c r="L66" s="141">
        <v>45887</v>
      </c>
      <c r="M66" s="145">
        <v>0</v>
      </c>
      <c r="N66" s="145">
        <v>0</v>
      </c>
      <c r="O66" s="140"/>
      <c r="P66" s="21">
        <v>101500</v>
      </c>
      <c r="Q66" s="21"/>
      <c r="R66" s="344">
        <v>12642</v>
      </c>
      <c r="S66" s="146">
        <f t="shared" si="1"/>
        <v>0</v>
      </c>
      <c r="T66" s="21" t="s">
        <v>843</v>
      </c>
      <c r="U66" s="11" t="s">
        <v>204</v>
      </c>
      <c r="V66" s="193"/>
    </row>
    <row r="67" spans="2:22">
      <c r="B67" s="155" t="s">
        <v>41</v>
      </c>
      <c r="C67" s="155" t="s">
        <v>31</v>
      </c>
      <c r="D67" s="155" t="s">
        <v>128</v>
      </c>
      <c r="E67" s="159">
        <v>45894</v>
      </c>
      <c r="F67" s="240" t="s">
        <v>344</v>
      </c>
      <c r="G67" s="155">
        <v>210198</v>
      </c>
      <c r="H67" s="419">
        <v>6306</v>
      </c>
      <c r="I67" s="162">
        <v>4203</v>
      </c>
      <c r="J67" s="144">
        <f t="shared" si="0"/>
        <v>199689</v>
      </c>
      <c r="K67" s="140"/>
      <c r="L67" s="141">
        <v>45894</v>
      </c>
      <c r="M67" s="145">
        <v>0</v>
      </c>
      <c r="N67" s="145">
        <v>0</v>
      </c>
      <c r="O67" s="140"/>
      <c r="P67" s="21">
        <v>199689</v>
      </c>
      <c r="Q67" s="21"/>
      <c r="R67" s="21"/>
      <c r="S67" s="146">
        <f t="shared" si="1"/>
        <v>0</v>
      </c>
      <c r="T67" s="21" t="s">
        <v>204</v>
      </c>
      <c r="U67" s="11" t="s">
        <v>204</v>
      </c>
      <c r="V67" s="193"/>
    </row>
    <row r="68" spans="2:22">
      <c r="B68" s="155" t="s">
        <v>351</v>
      </c>
      <c r="C68" s="155" t="s">
        <v>48</v>
      </c>
      <c r="D68" s="155" t="s">
        <v>26</v>
      </c>
      <c r="E68" s="159">
        <v>45894</v>
      </c>
      <c r="F68" s="240" t="s">
        <v>352</v>
      </c>
      <c r="G68" s="161">
        <v>12479</v>
      </c>
      <c r="H68" s="419"/>
      <c r="I68" s="162"/>
      <c r="J68" s="144">
        <f t="shared" si="0"/>
        <v>12479</v>
      </c>
      <c r="K68" s="140"/>
      <c r="L68" s="141">
        <v>45897</v>
      </c>
      <c r="M68" s="145">
        <v>0</v>
      </c>
      <c r="N68" s="145">
        <v>0</v>
      </c>
      <c r="O68" s="140"/>
      <c r="P68" s="21">
        <v>12479</v>
      </c>
      <c r="Q68" s="21"/>
      <c r="R68" s="21"/>
      <c r="S68" s="146">
        <f t="shared" si="1"/>
        <v>0</v>
      </c>
      <c r="T68" s="21" t="s">
        <v>204</v>
      </c>
      <c r="U68" s="11" t="s">
        <v>204</v>
      </c>
      <c r="V68" s="194">
        <v>45902</v>
      </c>
    </row>
    <row r="69" spans="2:22">
      <c r="B69" s="155" t="s">
        <v>109</v>
      </c>
      <c r="C69" s="155" t="s">
        <v>31</v>
      </c>
      <c r="D69" s="155" t="s">
        <v>128</v>
      </c>
      <c r="E69" s="159">
        <v>45894</v>
      </c>
      <c r="F69" s="156">
        <v>2150</v>
      </c>
      <c r="G69" s="161">
        <v>38925</v>
      </c>
      <c r="H69" s="419"/>
      <c r="I69" s="162"/>
      <c r="J69" s="144">
        <f t="shared" si="0"/>
        <v>38925</v>
      </c>
      <c r="K69" s="140"/>
      <c r="L69" s="141">
        <v>45906</v>
      </c>
      <c r="M69" s="145">
        <v>0</v>
      </c>
      <c r="N69" s="145">
        <v>0</v>
      </c>
      <c r="O69" s="140"/>
      <c r="P69" s="21">
        <v>38925</v>
      </c>
      <c r="Q69" s="21"/>
      <c r="R69" s="21"/>
      <c r="S69" s="146">
        <f t="shared" si="1"/>
        <v>0</v>
      </c>
      <c r="T69" s="21" t="s">
        <v>423</v>
      </c>
      <c r="U69" s="11"/>
      <c r="V69" s="194">
        <v>45901</v>
      </c>
    </row>
    <row r="70" spans="2:22">
      <c r="B70" s="155" t="s">
        <v>149</v>
      </c>
      <c r="C70" s="155" t="s">
        <v>31</v>
      </c>
      <c r="D70" s="155" t="s">
        <v>128</v>
      </c>
      <c r="E70" s="159">
        <v>45894</v>
      </c>
      <c r="F70" s="156">
        <v>2160</v>
      </c>
      <c r="G70" s="158">
        <v>52227</v>
      </c>
      <c r="H70" s="419">
        <v>1045</v>
      </c>
      <c r="I70" s="162"/>
      <c r="J70" s="144">
        <f t="shared" ref="J70:J115" si="2">+G70-H70-I70</f>
        <v>51182</v>
      </c>
      <c r="K70" s="140"/>
      <c r="L70" s="141">
        <v>45906</v>
      </c>
      <c r="M70" s="145">
        <v>0</v>
      </c>
      <c r="N70" s="145">
        <v>0</v>
      </c>
      <c r="O70" s="140"/>
      <c r="P70" s="21">
        <v>51182</v>
      </c>
      <c r="Q70" s="21"/>
      <c r="R70" s="21"/>
      <c r="S70" s="146">
        <f t="shared" si="1"/>
        <v>0</v>
      </c>
      <c r="T70" s="21" t="s">
        <v>423</v>
      </c>
      <c r="U70" s="11" t="s">
        <v>204</v>
      </c>
      <c r="V70" s="194">
        <v>45901</v>
      </c>
    </row>
    <row r="71" spans="2:22">
      <c r="B71" s="155" t="s">
        <v>233</v>
      </c>
      <c r="C71" s="155" t="s">
        <v>31</v>
      </c>
      <c r="D71" s="155" t="s">
        <v>128</v>
      </c>
      <c r="E71" s="159">
        <v>45894</v>
      </c>
      <c r="F71" s="156">
        <v>2170</v>
      </c>
      <c r="G71" s="161">
        <v>30474</v>
      </c>
      <c r="H71" s="419"/>
      <c r="I71" s="162"/>
      <c r="J71" s="144">
        <f t="shared" si="2"/>
        <v>30474</v>
      </c>
      <c r="K71" s="140"/>
      <c r="L71" s="141">
        <v>45906</v>
      </c>
      <c r="M71" s="145">
        <v>0</v>
      </c>
      <c r="N71" s="145">
        <v>0</v>
      </c>
      <c r="O71" s="140"/>
      <c r="P71" s="21">
        <v>30474</v>
      </c>
      <c r="Q71" s="21"/>
      <c r="R71" s="21"/>
      <c r="S71" s="146">
        <f t="shared" ref="S71:S115" si="3">+J71-SUM(P71:R71)</f>
        <v>0</v>
      </c>
      <c r="T71" s="21" t="s">
        <v>204</v>
      </c>
      <c r="U71" s="11" t="s">
        <v>522</v>
      </c>
      <c r="V71" s="193"/>
    </row>
    <row r="72" spans="2:22">
      <c r="B72" s="155" t="s">
        <v>353</v>
      </c>
      <c r="C72" s="155" t="s">
        <v>31</v>
      </c>
      <c r="D72" s="155" t="s">
        <v>128</v>
      </c>
      <c r="E72" s="159">
        <v>45894</v>
      </c>
      <c r="F72" s="156">
        <v>2200</v>
      </c>
      <c r="G72" s="161">
        <v>34742</v>
      </c>
      <c r="H72" s="419">
        <v>1042</v>
      </c>
      <c r="I72" s="162"/>
      <c r="J72" s="144">
        <f t="shared" si="2"/>
        <v>33700</v>
      </c>
      <c r="K72" s="140"/>
      <c r="L72" s="141">
        <v>45906</v>
      </c>
      <c r="M72" s="145">
        <v>0</v>
      </c>
      <c r="N72" s="145">
        <v>0</v>
      </c>
      <c r="O72" s="140"/>
      <c r="P72" s="21">
        <v>33700</v>
      </c>
      <c r="Q72" s="21"/>
      <c r="R72" s="21"/>
      <c r="S72" s="146">
        <f t="shared" si="3"/>
        <v>0</v>
      </c>
      <c r="T72" s="21" t="s">
        <v>204</v>
      </c>
      <c r="U72" s="11" t="s">
        <v>204</v>
      </c>
      <c r="V72" s="194">
        <v>45917</v>
      </c>
    </row>
    <row r="73" spans="2:22">
      <c r="B73" s="155" t="s">
        <v>187</v>
      </c>
      <c r="C73" s="155" t="s">
        <v>31</v>
      </c>
      <c r="D73" s="155" t="s">
        <v>128</v>
      </c>
      <c r="E73" s="159">
        <v>45897</v>
      </c>
      <c r="F73" s="240" t="s">
        <v>377</v>
      </c>
      <c r="G73" s="155">
        <v>26165</v>
      </c>
      <c r="H73" s="419">
        <v>785</v>
      </c>
      <c r="I73" s="162"/>
      <c r="J73" s="144">
        <f t="shared" si="2"/>
        <v>25380</v>
      </c>
      <c r="K73" s="140"/>
      <c r="L73" s="141">
        <v>45897</v>
      </c>
      <c r="M73" s="145">
        <v>0</v>
      </c>
      <c r="N73" s="145">
        <v>0</v>
      </c>
      <c r="O73" s="140"/>
      <c r="P73" s="21">
        <v>25380</v>
      </c>
      <c r="Q73" s="21"/>
      <c r="R73" s="21"/>
      <c r="S73" s="146">
        <f t="shared" si="3"/>
        <v>0</v>
      </c>
      <c r="T73" s="21" t="s">
        <v>204</v>
      </c>
      <c r="U73" s="11" t="s">
        <v>204</v>
      </c>
      <c r="V73" s="193" t="s">
        <v>376</v>
      </c>
    </row>
    <row r="74" spans="2:22">
      <c r="B74" s="155" t="s">
        <v>34</v>
      </c>
      <c r="C74" s="155" t="s">
        <v>31</v>
      </c>
      <c r="D74" s="155" t="s">
        <v>128</v>
      </c>
      <c r="E74" s="159">
        <v>45897</v>
      </c>
      <c r="F74" s="240" t="s">
        <v>378</v>
      </c>
      <c r="G74" s="155">
        <v>52428</v>
      </c>
      <c r="H74" s="419">
        <v>1050</v>
      </c>
      <c r="I74" s="162"/>
      <c r="J74" s="144">
        <f t="shared" si="2"/>
        <v>51378</v>
      </c>
      <c r="K74" s="140"/>
      <c r="L74" s="141">
        <v>45912</v>
      </c>
      <c r="M74" s="145">
        <v>0</v>
      </c>
      <c r="N74" s="145">
        <v>0</v>
      </c>
      <c r="O74" s="140"/>
      <c r="P74" s="21">
        <v>51378</v>
      </c>
      <c r="Q74" s="21"/>
      <c r="R74" s="21"/>
      <c r="S74" s="146">
        <f t="shared" si="3"/>
        <v>0</v>
      </c>
      <c r="T74" s="21" t="s">
        <v>204</v>
      </c>
      <c r="U74" s="11" t="s">
        <v>204</v>
      </c>
      <c r="V74" s="194">
        <v>45904</v>
      </c>
    </row>
    <row r="75" spans="2:22">
      <c r="B75" s="155" t="s">
        <v>379</v>
      </c>
      <c r="C75" s="155" t="s">
        <v>31</v>
      </c>
      <c r="D75" s="155" t="s">
        <v>128</v>
      </c>
      <c r="E75" s="159">
        <v>45897</v>
      </c>
      <c r="F75" s="240" t="s">
        <v>380</v>
      </c>
      <c r="G75" s="155">
        <v>59178</v>
      </c>
      <c r="H75" s="419">
        <v>1178</v>
      </c>
      <c r="I75" s="162"/>
      <c r="J75" s="144">
        <f t="shared" si="2"/>
        <v>58000</v>
      </c>
      <c r="K75" s="140"/>
      <c r="L75" s="141">
        <v>45912</v>
      </c>
      <c r="M75" s="145">
        <v>0</v>
      </c>
      <c r="N75" s="145">
        <v>0</v>
      </c>
      <c r="O75" s="140"/>
      <c r="P75" s="21">
        <v>20000</v>
      </c>
      <c r="Q75" s="21">
        <v>10000</v>
      </c>
      <c r="R75" s="21">
        <v>28000</v>
      </c>
      <c r="S75" s="146">
        <f t="shared" si="3"/>
        <v>0</v>
      </c>
      <c r="T75" s="21" t="s">
        <v>204</v>
      </c>
      <c r="U75" s="11" t="s">
        <v>204</v>
      </c>
      <c r="V75" s="194">
        <v>45925</v>
      </c>
    </row>
    <row r="76" spans="2:22">
      <c r="B76" s="155" t="s">
        <v>188</v>
      </c>
      <c r="C76" s="155" t="s">
        <v>31</v>
      </c>
      <c r="D76" s="155" t="s">
        <v>128</v>
      </c>
      <c r="E76" s="159">
        <v>45897</v>
      </c>
      <c r="F76" s="240" t="s">
        <v>381</v>
      </c>
      <c r="G76" s="155">
        <v>128671</v>
      </c>
      <c r="H76" s="419">
        <v>3860</v>
      </c>
      <c r="I76" s="162"/>
      <c r="J76" s="144">
        <f t="shared" si="2"/>
        <v>124811</v>
      </c>
      <c r="K76" s="140"/>
      <c r="L76" s="141">
        <v>45912</v>
      </c>
      <c r="M76" s="145">
        <v>0</v>
      </c>
      <c r="N76" s="145">
        <v>0</v>
      </c>
      <c r="O76" s="140"/>
      <c r="P76" s="21">
        <v>123220</v>
      </c>
      <c r="Q76" s="21"/>
      <c r="R76" s="344">
        <v>1591</v>
      </c>
      <c r="S76" s="146">
        <f t="shared" si="3"/>
        <v>0</v>
      </c>
      <c r="T76" s="21" t="s">
        <v>843</v>
      </c>
      <c r="U76" s="11" t="s">
        <v>204</v>
      </c>
      <c r="V76" s="193"/>
    </row>
    <row r="77" spans="2:22">
      <c r="B77" s="155" t="s">
        <v>263</v>
      </c>
      <c r="C77" s="155" t="s">
        <v>31</v>
      </c>
      <c r="D77" s="155" t="s">
        <v>128</v>
      </c>
      <c r="E77" s="159">
        <v>45897</v>
      </c>
      <c r="F77" s="240" t="s">
        <v>382</v>
      </c>
      <c r="G77" s="155">
        <v>24103</v>
      </c>
      <c r="H77" s="419">
        <v>482</v>
      </c>
      <c r="I77" s="162"/>
      <c r="J77" s="144">
        <f t="shared" si="2"/>
        <v>23621</v>
      </c>
      <c r="K77" s="140"/>
      <c r="L77" s="141">
        <v>45897</v>
      </c>
      <c r="M77" s="145">
        <v>0</v>
      </c>
      <c r="N77" s="145">
        <v>0</v>
      </c>
      <c r="O77" s="140"/>
      <c r="P77" s="21">
        <v>23621</v>
      </c>
      <c r="Q77" s="21"/>
      <c r="R77" s="21"/>
      <c r="S77" s="146">
        <f t="shared" si="3"/>
        <v>0</v>
      </c>
      <c r="T77" s="21" t="s">
        <v>204</v>
      </c>
      <c r="U77" s="11" t="s">
        <v>204</v>
      </c>
      <c r="V77" s="193" t="s">
        <v>376</v>
      </c>
    </row>
    <row r="78" spans="2:22">
      <c r="B78" s="155" t="s">
        <v>194</v>
      </c>
      <c r="C78" s="155" t="s">
        <v>31</v>
      </c>
      <c r="D78" s="155" t="s">
        <v>128</v>
      </c>
      <c r="E78" s="159">
        <v>45898</v>
      </c>
      <c r="F78" s="156">
        <v>2310</v>
      </c>
      <c r="G78" s="161">
        <v>181073</v>
      </c>
      <c r="H78" s="419">
        <v>5432</v>
      </c>
      <c r="I78" s="162"/>
      <c r="J78" s="144">
        <f t="shared" si="2"/>
        <v>175641</v>
      </c>
      <c r="K78" s="140"/>
      <c r="L78" s="141">
        <v>45914</v>
      </c>
      <c r="M78" s="145">
        <v>0</v>
      </c>
      <c r="N78" s="145">
        <v>0</v>
      </c>
      <c r="O78" s="140"/>
      <c r="P78" s="21">
        <v>111850</v>
      </c>
      <c r="Q78" s="21">
        <v>60000</v>
      </c>
      <c r="R78" s="344">
        <v>3791</v>
      </c>
      <c r="S78" s="146">
        <f t="shared" si="3"/>
        <v>0</v>
      </c>
      <c r="T78" s="21" t="s">
        <v>843</v>
      </c>
      <c r="U78" s="11" t="s">
        <v>204</v>
      </c>
      <c r="V78" s="193"/>
    </row>
    <row r="79" spans="2:22">
      <c r="B79" s="155" t="s">
        <v>35</v>
      </c>
      <c r="C79" s="155" t="s">
        <v>31</v>
      </c>
      <c r="D79" s="155" t="s">
        <v>128</v>
      </c>
      <c r="E79" s="159">
        <v>45898</v>
      </c>
      <c r="F79" s="156">
        <v>2320</v>
      </c>
      <c r="G79" s="161">
        <v>92515</v>
      </c>
      <c r="H79" s="419"/>
      <c r="I79" s="162"/>
      <c r="J79" s="144">
        <f t="shared" si="2"/>
        <v>92515</v>
      </c>
      <c r="K79" s="140"/>
      <c r="L79" s="141">
        <v>45914</v>
      </c>
      <c r="M79" s="145">
        <v>0</v>
      </c>
      <c r="N79" s="145">
        <v>0</v>
      </c>
      <c r="O79" s="140"/>
      <c r="P79" s="21">
        <v>92515</v>
      </c>
      <c r="Q79" s="21"/>
      <c r="R79" s="21"/>
      <c r="S79" s="146">
        <f t="shared" si="3"/>
        <v>0</v>
      </c>
      <c r="T79" s="21" t="s">
        <v>423</v>
      </c>
      <c r="U79" s="11" t="s">
        <v>204</v>
      </c>
      <c r="V79" s="194">
        <v>45913</v>
      </c>
    </row>
    <row r="80" spans="2:22">
      <c r="B80" s="155" t="s">
        <v>388</v>
      </c>
      <c r="C80" s="155" t="s">
        <v>31</v>
      </c>
      <c r="D80" s="155" t="s">
        <v>128</v>
      </c>
      <c r="E80" s="159">
        <v>45898</v>
      </c>
      <c r="F80" s="156">
        <v>2360</v>
      </c>
      <c r="G80" s="161">
        <v>7206</v>
      </c>
      <c r="H80" s="419"/>
      <c r="I80" s="162"/>
      <c r="J80" s="144">
        <f t="shared" si="2"/>
        <v>7206</v>
      </c>
      <c r="K80" s="140"/>
      <c r="L80" s="141">
        <v>45914</v>
      </c>
      <c r="M80" s="145">
        <v>0</v>
      </c>
      <c r="N80" s="145">
        <v>0</v>
      </c>
      <c r="O80" s="140"/>
      <c r="P80" s="21">
        <v>3604</v>
      </c>
      <c r="Q80" s="21">
        <v>3602</v>
      </c>
      <c r="R80" s="21"/>
      <c r="S80" s="146">
        <f t="shared" si="3"/>
        <v>0</v>
      </c>
      <c r="T80" s="21" t="s">
        <v>204</v>
      </c>
      <c r="U80" s="11" t="s">
        <v>204</v>
      </c>
      <c r="V80" s="193"/>
    </row>
    <row r="81" spans="2:22">
      <c r="B81" s="155" t="s">
        <v>222</v>
      </c>
      <c r="C81" s="155" t="s">
        <v>31</v>
      </c>
      <c r="D81" s="155" t="s">
        <v>128</v>
      </c>
      <c r="E81" s="159">
        <v>45898</v>
      </c>
      <c r="F81" s="156">
        <v>2350</v>
      </c>
      <c r="G81" s="161">
        <v>21975</v>
      </c>
      <c r="H81" s="419"/>
      <c r="I81" s="162"/>
      <c r="J81" s="144">
        <f t="shared" si="2"/>
        <v>21975</v>
      </c>
      <c r="K81" s="140"/>
      <c r="L81" s="141">
        <v>45914</v>
      </c>
      <c r="M81" s="145">
        <v>0</v>
      </c>
      <c r="N81" s="145">
        <v>0</v>
      </c>
      <c r="O81" s="140"/>
      <c r="P81" s="21">
        <v>21975</v>
      </c>
      <c r="Q81" s="21"/>
      <c r="R81" s="21"/>
      <c r="S81" s="146">
        <f t="shared" si="3"/>
        <v>0</v>
      </c>
      <c r="T81" s="21" t="s">
        <v>204</v>
      </c>
      <c r="U81" s="11" t="s">
        <v>204</v>
      </c>
      <c r="V81" s="194">
        <v>45918</v>
      </c>
    </row>
    <row r="82" spans="2:22">
      <c r="B82" s="155" t="s">
        <v>389</v>
      </c>
      <c r="C82" s="155" t="s">
        <v>31</v>
      </c>
      <c r="D82" s="155" t="s">
        <v>128</v>
      </c>
      <c r="E82" s="159">
        <v>45898</v>
      </c>
      <c r="F82" s="156">
        <v>2340</v>
      </c>
      <c r="G82" s="161">
        <v>16702</v>
      </c>
      <c r="H82" s="419"/>
      <c r="I82" s="162"/>
      <c r="J82" s="144">
        <f t="shared" si="2"/>
        <v>16702</v>
      </c>
      <c r="K82" s="140"/>
      <c r="L82" s="141">
        <v>45914</v>
      </c>
      <c r="M82" s="145">
        <v>0</v>
      </c>
      <c r="N82" s="145">
        <v>0</v>
      </c>
      <c r="O82" s="140"/>
      <c r="P82" s="21">
        <v>16702</v>
      </c>
      <c r="Q82" s="21"/>
      <c r="R82" s="21"/>
      <c r="S82" s="146">
        <f t="shared" si="3"/>
        <v>0</v>
      </c>
      <c r="T82" s="21" t="s">
        <v>204</v>
      </c>
      <c r="U82" s="11" t="s">
        <v>204</v>
      </c>
      <c r="V82" s="194">
        <v>45904</v>
      </c>
    </row>
    <row r="83" spans="2:22">
      <c r="B83" s="155" t="s">
        <v>396</v>
      </c>
      <c r="C83" s="155" t="s">
        <v>63</v>
      </c>
      <c r="D83" s="155" t="s">
        <v>64</v>
      </c>
      <c r="E83" s="159">
        <v>45899</v>
      </c>
      <c r="F83" s="240" t="s">
        <v>397</v>
      </c>
      <c r="G83" s="158">
        <v>5950</v>
      </c>
      <c r="H83" s="419"/>
      <c r="I83" s="162"/>
      <c r="J83" s="144">
        <f t="shared" si="2"/>
        <v>5950</v>
      </c>
      <c r="K83" s="140"/>
      <c r="L83" s="141">
        <v>45901</v>
      </c>
      <c r="M83" s="145">
        <v>0</v>
      </c>
      <c r="N83" s="145">
        <v>0</v>
      </c>
      <c r="O83" s="140"/>
      <c r="P83" s="21">
        <v>5950</v>
      </c>
      <c r="Q83" s="21"/>
      <c r="R83" s="21"/>
      <c r="S83" s="146">
        <f t="shared" si="3"/>
        <v>0</v>
      </c>
      <c r="T83" s="21" t="s">
        <v>204</v>
      </c>
      <c r="U83" s="11" t="s">
        <v>204</v>
      </c>
      <c r="V83" s="194">
        <v>45902</v>
      </c>
    </row>
    <row r="84" spans="2:22">
      <c r="B84" s="155" t="s">
        <v>155</v>
      </c>
      <c r="C84" s="155" t="s">
        <v>31</v>
      </c>
      <c r="D84" s="155" t="s">
        <v>128</v>
      </c>
      <c r="E84" s="159">
        <v>45899</v>
      </c>
      <c r="F84" s="156">
        <v>2380</v>
      </c>
      <c r="G84" s="161">
        <v>639883</v>
      </c>
      <c r="H84" s="419">
        <v>19206</v>
      </c>
      <c r="I84" s="162">
        <v>12797</v>
      </c>
      <c r="J84" s="144">
        <f t="shared" si="2"/>
        <v>607880</v>
      </c>
      <c r="K84" s="140"/>
      <c r="L84" s="141">
        <v>45914</v>
      </c>
      <c r="M84" s="145">
        <v>0</v>
      </c>
      <c r="N84" s="145">
        <v>0</v>
      </c>
      <c r="O84" s="140"/>
      <c r="P84" s="50">
        <v>200000</v>
      </c>
      <c r="Q84" s="21">
        <v>100000</v>
      </c>
      <c r="R84" s="21">
        <v>307880</v>
      </c>
      <c r="S84" s="146">
        <f t="shared" si="3"/>
        <v>0</v>
      </c>
      <c r="T84" s="21" t="s">
        <v>204</v>
      </c>
      <c r="U84" s="21" t="s">
        <v>204</v>
      </c>
      <c r="V84" s="21"/>
    </row>
    <row r="85" spans="2:22">
      <c r="B85" s="201" t="s">
        <v>404</v>
      </c>
      <c r="C85" s="155" t="s">
        <v>31</v>
      </c>
      <c r="D85" s="155" t="s">
        <v>128</v>
      </c>
      <c r="E85" s="159">
        <v>45899</v>
      </c>
      <c r="F85" s="156">
        <v>2390</v>
      </c>
      <c r="G85" s="161">
        <v>18664</v>
      </c>
      <c r="H85" s="419"/>
      <c r="I85" s="162"/>
      <c r="J85" s="144">
        <f t="shared" si="2"/>
        <v>18664</v>
      </c>
      <c r="K85" s="140"/>
      <c r="L85" s="141">
        <v>45914</v>
      </c>
      <c r="M85" s="145">
        <v>0</v>
      </c>
      <c r="N85" s="145">
        <v>0</v>
      </c>
      <c r="O85" s="140"/>
      <c r="P85" s="21">
        <v>18664</v>
      </c>
      <c r="Q85" s="21"/>
      <c r="R85" s="21"/>
      <c r="S85" s="146">
        <f t="shared" si="3"/>
        <v>0</v>
      </c>
      <c r="T85" s="21" t="s">
        <v>204</v>
      </c>
      <c r="U85" s="11" t="s">
        <v>204</v>
      </c>
      <c r="V85" s="194">
        <v>45920</v>
      </c>
    </row>
    <row r="86" spans="2:22">
      <c r="B86" s="155" t="s">
        <v>405</v>
      </c>
      <c r="C86" s="155" t="s">
        <v>31</v>
      </c>
      <c r="D86" s="155" t="s">
        <v>128</v>
      </c>
      <c r="E86" s="159">
        <v>45899</v>
      </c>
      <c r="F86" s="156">
        <v>2400</v>
      </c>
      <c r="G86" s="161">
        <v>11199</v>
      </c>
      <c r="H86" s="419"/>
      <c r="I86" s="162"/>
      <c r="J86" s="144">
        <f t="shared" si="2"/>
        <v>11199</v>
      </c>
      <c r="K86" s="140"/>
      <c r="L86" s="141">
        <v>45914</v>
      </c>
      <c r="M86" s="145">
        <v>0</v>
      </c>
      <c r="N86" s="145">
        <v>0</v>
      </c>
      <c r="O86" s="140"/>
      <c r="P86" s="21">
        <v>11199</v>
      </c>
      <c r="Q86" s="21"/>
      <c r="R86" s="21"/>
      <c r="S86" s="146">
        <f t="shared" si="3"/>
        <v>0</v>
      </c>
      <c r="T86" s="21" t="s">
        <v>204</v>
      </c>
      <c r="U86" s="11" t="s">
        <v>204</v>
      </c>
      <c r="V86" s="194">
        <v>45920</v>
      </c>
    </row>
    <row r="87" spans="2:22">
      <c r="B87" s="155" t="s">
        <v>406</v>
      </c>
      <c r="C87" s="155" t="s">
        <v>31</v>
      </c>
      <c r="D87" s="155" t="s">
        <v>128</v>
      </c>
      <c r="E87" s="159">
        <v>45899</v>
      </c>
      <c r="F87" s="156">
        <v>2410</v>
      </c>
      <c r="G87" s="161">
        <v>51412</v>
      </c>
      <c r="H87" s="419"/>
      <c r="I87" s="162"/>
      <c r="J87" s="144">
        <f t="shared" si="2"/>
        <v>51412</v>
      </c>
      <c r="K87" s="140"/>
      <c r="L87" s="141">
        <v>45914</v>
      </c>
      <c r="M87" s="145">
        <v>0</v>
      </c>
      <c r="N87" s="145">
        <v>0</v>
      </c>
      <c r="O87" s="140"/>
      <c r="P87" s="21">
        <v>51412</v>
      </c>
      <c r="Q87" s="21"/>
      <c r="R87" s="21"/>
      <c r="S87" s="146">
        <f t="shared" si="3"/>
        <v>0</v>
      </c>
      <c r="T87" s="21" t="s">
        <v>204</v>
      </c>
      <c r="U87" s="11" t="s">
        <v>204</v>
      </c>
      <c r="V87" s="194">
        <v>45909</v>
      </c>
    </row>
    <row r="88" spans="2:22">
      <c r="B88" s="155" t="s">
        <v>407</v>
      </c>
      <c r="C88" s="155" t="s">
        <v>31</v>
      </c>
      <c r="D88" s="155" t="s">
        <v>128</v>
      </c>
      <c r="E88" s="159">
        <v>45899</v>
      </c>
      <c r="F88" s="156">
        <v>19000</v>
      </c>
      <c r="G88" s="161">
        <v>89996</v>
      </c>
      <c r="H88" s="419">
        <v>10431</v>
      </c>
      <c r="I88" s="162"/>
      <c r="J88" s="144">
        <f t="shared" si="2"/>
        <v>79565</v>
      </c>
      <c r="K88" s="140"/>
      <c r="L88" s="141">
        <v>45914</v>
      </c>
      <c r="M88" s="145">
        <v>0</v>
      </c>
      <c r="N88" s="145">
        <v>0</v>
      </c>
      <c r="O88" s="140"/>
      <c r="P88" s="21">
        <v>31215</v>
      </c>
      <c r="Q88" s="21">
        <v>48350</v>
      </c>
      <c r="R88" s="21"/>
      <c r="S88" s="146">
        <f t="shared" si="3"/>
        <v>0</v>
      </c>
      <c r="T88" s="21" t="s">
        <v>204</v>
      </c>
      <c r="U88" s="11" t="s">
        <v>204</v>
      </c>
      <c r="V88" s="193"/>
    </row>
    <row r="89" spans="2:22">
      <c r="B89" s="155" t="s">
        <v>408</v>
      </c>
      <c r="C89" s="155" t="s">
        <v>31</v>
      </c>
      <c r="D89" s="155" t="s">
        <v>128</v>
      </c>
      <c r="E89" s="159">
        <v>45899</v>
      </c>
      <c r="F89" s="156">
        <v>18420</v>
      </c>
      <c r="G89" s="161">
        <v>88922</v>
      </c>
      <c r="H89" s="419"/>
      <c r="I89" s="162"/>
      <c r="J89" s="144">
        <f t="shared" si="2"/>
        <v>88922</v>
      </c>
      <c r="K89" s="140"/>
      <c r="L89" s="141">
        <v>45914</v>
      </c>
      <c r="M89" s="145">
        <v>0</v>
      </c>
      <c r="N89" s="145">
        <v>0</v>
      </c>
      <c r="O89" s="140"/>
      <c r="P89" s="21">
        <v>88922</v>
      </c>
      <c r="Q89" s="21"/>
      <c r="R89" s="21"/>
      <c r="S89" s="146">
        <f t="shared" si="3"/>
        <v>0</v>
      </c>
      <c r="T89" s="21" t="s">
        <v>204</v>
      </c>
      <c r="U89" s="11" t="s">
        <v>204</v>
      </c>
      <c r="V89" s="194">
        <v>45920</v>
      </c>
    </row>
    <row r="90" spans="2:22">
      <c r="B90" s="155" t="s">
        <v>414</v>
      </c>
      <c r="C90" s="155" t="s">
        <v>63</v>
      </c>
      <c r="D90" s="155" t="s">
        <v>413</v>
      </c>
      <c r="E90" s="186">
        <v>45901</v>
      </c>
      <c r="F90" s="240" t="s">
        <v>416</v>
      </c>
      <c r="G90" s="155">
        <v>8573</v>
      </c>
      <c r="H90" s="419"/>
      <c r="I90" s="161"/>
      <c r="J90" s="144">
        <v>8573</v>
      </c>
      <c r="K90" s="140"/>
      <c r="L90" s="141">
        <v>45906</v>
      </c>
      <c r="M90" s="145">
        <v>0</v>
      </c>
      <c r="N90" s="145">
        <v>0</v>
      </c>
      <c r="O90" s="140"/>
      <c r="P90" s="21">
        <v>8573</v>
      </c>
      <c r="Q90" s="21"/>
      <c r="R90" s="21"/>
      <c r="S90" s="146">
        <f t="shared" si="3"/>
        <v>0</v>
      </c>
      <c r="T90" s="21" t="s">
        <v>204</v>
      </c>
      <c r="U90" s="11" t="s">
        <v>204</v>
      </c>
      <c r="V90" s="194">
        <v>45915</v>
      </c>
    </row>
    <row r="91" spans="2:22">
      <c r="B91" s="155" t="s">
        <v>415</v>
      </c>
      <c r="C91" s="155" t="s">
        <v>63</v>
      </c>
      <c r="D91" s="155" t="s">
        <v>413</v>
      </c>
      <c r="E91" s="186">
        <v>45901</v>
      </c>
      <c r="F91" s="240" t="s">
        <v>417</v>
      </c>
      <c r="G91" s="155">
        <v>6207</v>
      </c>
      <c r="H91" s="419"/>
      <c r="I91" s="161"/>
      <c r="J91" s="144">
        <v>6207</v>
      </c>
      <c r="K91" s="140"/>
      <c r="L91" s="141">
        <v>45906</v>
      </c>
      <c r="M91" s="145">
        <v>0</v>
      </c>
      <c r="N91" s="145">
        <v>0</v>
      </c>
      <c r="O91" s="140"/>
      <c r="P91" s="21">
        <v>6207</v>
      </c>
      <c r="Q91" s="21"/>
      <c r="R91" s="21"/>
      <c r="S91" s="146">
        <f t="shared" si="3"/>
        <v>0</v>
      </c>
      <c r="T91" s="21" t="s">
        <v>204</v>
      </c>
      <c r="U91" s="11" t="s">
        <v>204</v>
      </c>
      <c r="V91" s="194">
        <v>45903</v>
      </c>
    </row>
    <row r="92" spans="2:22">
      <c r="B92" s="155" t="s">
        <v>418</v>
      </c>
      <c r="C92" s="155" t="s">
        <v>56</v>
      </c>
      <c r="D92" s="155" t="s">
        <v>31</v>
      </c>
      <c r="E92" s="186">
        <v>45901</v>
      </c>
      <c r="F92" s="240" t="s">
        <v>419</v>
      </c>
      <c r="G92" s="155">
        <v>3794</v>
      </c>
      <c r="H92" s="419"/>
      <c r="I92" s="162"/>
      <c r="J92" s="144">
        <f t="shared" si="2"/>
        <v>3794</v>
      </c>
      <c r="K92" s="140"/>
      <c r="L92" s="141">
        <v>45906</v>
      </c>
      <c r="M92" s="145">
        <v>0</v>
      </c>
      <c r="N92" s="145">
        <v>0</v>
      </c>
      <c r="O92" s="140"/>
      <c r="P92" s="21">
        <v>3794</v>
      </c>
      <c r="Q92" s="21"/>
      <c r="R92" s="21"/>
      <c r="S92" s="146">
        <f t="shared" si="3"/>
        <v>0</v>
      </c>
      <c r="T92" s="21" t="s">
        <v>423</v>
      </c>
      <c r="U92" s="11"/>
      <c r="V92" s="193"/>
    </row>
    <row r="93" spans="2:22">
      <c r="B93" s="155" t="s">
        <v>420</v>
      </c>
      <c r="C93" s="155" t="s">
        <v>31</v>
      </c>
      <c r="D93" s="155" t="s">
        <v>128</v>
      </c>
      <c r="E93" s="186">
        <v>45901</v>
      </c>
      <c r="F93" s="156">
        <v>2460</v>
      </c>
      <c r="G93" s="161">
        <v>55816</v>
      </c>
      <c r="H93" s="419">
        <v>1616</v>
      </c>
      <c r="I93" s="162"/>
      <c r="J93" s="144">
        <f t="shared" si="2"/>
        <v>54200</v>
      </c>
      <c r="K93" s="140"/>
      <c r="L93" s="141">
        <v>45916</v>
      </c>
      <c r="M93" s="145">
        <v>0</v>
      </c>
      <c r="N93" s="145">
        <v>0</v>
      </c>
      <c r="O93" s="140"/>
      <c r="P93" s="21">
        <v>15000</v>
      </c>
      <c r="Q93" s="21">
        <v>15000</v>
      </c>
      <c r="R93" s="50">
        <f>20000+4200</f>
        <v>24200</v>
      </c>
      <c r="S93" s="146">
        <f t="shared" si="3"/>
        <v>0</v>
      </c>
      <c r="T93" s="21"/>
      <c r="U93" s="11" t="s">
        <v>204</v>
      </c>
      <c r="V93" s="194">
        <v>45974</v>
      </c>
    </row>
    <row r="94" spans="2:22">
      <c r="B94" s="155" t="s">
        <v>421</v>
      </c>
      <c r="C94" s="155" t="s">
        <v>31</v>
      </c>
      <c r="D94" s="155" t="s">
        <v>128</v>
      </c>
      <c r="E94" s="186">
        <v>45901</v>
      </c>
      <c r="F94" s="156">
        <v>2450</v>
      </c>
      <c r="G94" s="161">
        <v>27178</v>
      </c>
      <c r="H94" s="419"/>
      <c r="I94" s="162"/>
      <c r="J94" s="144">
        <f t="shared" si="2"/>
        <v>27178</v>
      </c>
      <c r="K94" s="140"/>
      <c r="L94" s="141">
        <v>45916</v>
      </c>
      <c r="M94" s="145">
        <v>0</v>
      </c>
      <c r="N94" s="145">
        <v>0</v>
      </c>
      <c r="O94" s="140"/>
      <c r="P94" s="21">
        <v>21178</v>
      </c>
      <c r="Q94" s="21">
        <v>6000</v>
      </c>
      <c r="R94" s="21"/>
      <c r="S94" s="146">
        <f t="shared" si="3"/>
        <v>0</v>
      </c>
      <c r="T94" s="21"/>
      <c r="U94" s="11" t="s">
        <v>204</v>
      </c>
      <c r="V94" s="194">
        <v>45919</v>
      </c>
    </row>
    <row r="95" spans="2:22">
      <c r="B95" s="155" t="s">
        <v>149</v>
      </c>
      <c r="C95" s="155" t="s">
        <v>31</v>
      </c>
      <c r="D95" s="155" t="s">
        <v>128</v>
      </c>
      <c r="E95" s="186">
        <v>45901</v>
      </c>
      <c r="F95" s="156">
        <v>2480</v>
      </c>
      <c r="G95" s="161">
        <v>27962</v>
      </c>
      <c r="H95" s="419">
        <v>560</v>
      </c>
      <c r="I95" s="162"/>
      <c r="J95" s="144">
        <f t="shared" si="2"/>
        <v>27402</v>
      </c>
      <c r="K95" s="140"/>
      <c r="L95" s="141">
        <v>45916</v>
      </c>
      <c r="M95" s="145">
        <v>0</v>
      </c>
      <c r="N95" s="145">
        <v>0</v>
      </c>
      <c r="O95" s="140"/>
      <c r="P95" s="21">
        <v>27402</v>
      </c>
      <c r="Q95" s="21"/>
      <c r="R95" s="21"/>
      <c r="S95" s="146">
        <f t="shared" si="3"/>
        <v>0</v>
      </c>
      <c r="T95" s="21" t="s">
        <v>423</v>
      </c>
      <c r="U95" s="11"/>
      <c r="V95" s="193"/>
    </row>
    <row r="96" spans="2:22">
      <c r="B96" s="155" t="s">
        <v>422</v>
      </c>
      <c r="C96" s="155" t="s">
        <v>31</v>
      </c>
      <c r="D96" s="155" t="s">
        <v>128</v>
      </c>
      <c r="E96" s="186">
        <v>45901</v>
      </c>
      <c r="F96" s="156">
        <v>2490</v>
      </c>
      <c r="G96" s="161">
        <v>161891</v>
      </c>
      <c r="H96" s="419">
        <v>4753</v>
      </c>
      <c r="I96" s="162"/>
      <c r="J96" s="144">
        <f t="shared" si="2"/>
        <v>157138</v>
      </c>
      <c r="K96" s="140"/>
      <c r="L96" s="141">
        <v>45916</v>
      </c>
      <c r="M96" s="145">
        <v>0</v>
      </c>
      <c r="N96" s="145">
        <v>0</v>
      </c>
      <c r="O96" s="140"/>
      <c r="P96" s="21">
        <v>100000</v>
      </c>
      <c r="Q96" s="21">
        <v>40500</v>
      </c>
      <c r="R96" s="344">
        <v>16638</v>
      </c>
      <c r="S96" s="146">
        <f t="shared" si="3"/>
        <v>0</v>
      </c>
      <c r="T96" s="21" t="s">
        <v>843</v>
      </c>
      <c r="U96" s="11" t="s">
        <v>204</v>
      </c>
      <c r="V96" s="193"/>
    </row>
    <row r="97" spans="2:22">
      <c r="B97" s="155" t="s">
        <v>109</v>
      </c>
      <c r="C97" s="155" t="s">
        <v>31</v>
      </c>
      <c r="D97" s="155" t="s">
        <v>128</v>
      </c>
      <c r="E97" s="186">
        <v>45901</v>
      </c>
      <c r="F97" s="156">
        <v>2430</v>
      </c>
      <c r="G97" s="161">
        <v>21497</v>
      </c>
      <c r="H97" s="419"/>
      <c r="I97" s="162"/>
      <c r="J97" s="144">
        <f t="shared" si="2"/>
        <v>21497</v>
      </c>
      <c r="K97" s="140"/>
      <c r="L97" s="141">
        <v>45916</v>
      </c>
      <c r="M97" s="145">
        <v>0</v>
      </c>
      <c r="N97" s="145">
        <v>0</v>
      </c>
      <c r="O97" s="140"/>
      <c r="P97" s="21">
        <v>21497</v>
      </c>
      <c r="Q97" s="21"/>
      <c r="R97" s="21"/>
      <c r="S97" s="146">
        <f t="shared" si="3"/>
        <v>0</v>
      </c>
      <c r="T97" s="21" t="s">
        <v>464</v>
      </c>
      <c r="U97" s="11" t="s">
        <v>204</v>
      </c>
      <c r="V97" s="194">
        <v>45913</v>
      </c>
    </row>
    <row r="98" spans="2:22">
      <c r="B98" s="155" t="s">
        <v>429</v>
      </c>
      <c r="C98" s="155" t="s">
        <v>63</v>
      </c>
      <c r="D98" s="155" t="s">
        <v>64</v>
      </c>
      <c r="E98" s="186">
        <v>45903</v>
      </c>
      <c r="F98" s="240" t="s">
        <v>430</v>
      </c>
      <c r="G98" s="155">
        <v>3000</v>
      </c>
      <c r="H98" s="419"/>
      <c r="I98" s="162"/>
      <c r="J98" s="144">
        <f t="shared" si="2"/>
        <v>3000</v>
      </c>
      <c r="K98" s="140"/>
      <c r="L98" s="187">
        <v>45904</v>
      </c>
      <c r="M98" s="145">
        <v>0</v>
      </c>
      <c r="N98" s="145">
        <v>0</v>
      </c>
      <c r="O98" s="140"/>
      <c r="P98" s="21">
        <v>3000</v>
      </c>
      <c r="Q98" s="21"/>
      <c r="R98" s="21"/>
      <c r="S98" s="146">
        <f t="shared" si="3"/>
        <v>0</v>
      </c>
      <c r="T98" s="21" t="s">
        <v>204</v>
      </c>
      <c r="U98" s="11" t="s">
        <v>204</v>
      </c>
      <c r="V98" s="194">
        <v>45916</v>
      </c>
    </row>
    <row r="99" spans="2:22">
      <c r="B99" s="155" t="s">
        <v>431</v>
      </c>
      <c r="C99" s="155" t="s">
        <v>432</v>
      </c>
      <c r="D99" s="155" t="s">
        <v>390</v>
      </c>
      <c r="E99" s="186">
        <v>45903</v>
      </c>
      <c r="F99" s="240" t="s">
        <v>433</v>
      </c>
      <c r="G99" s="155">
        <v>2178</v>
      </c>
      <c r="H99" s="419"/>
      <c r="I99" s="162"/>
      <c r="J99" s="144">
        <f t="shared" si="2"/>
        <v>2178</v>
      </c>
      <c r="K99" s="140"/>
      <c r="L99" s="187">
        <v>45904</v>
      </c>
      <c r="M99" s="145">
        <v>0</v>
      </c>
      <c r="N99" s="145">
        <v>0</v>
      </c>
      <c r="O99" s="140"/>
      <c r="P99" s="21">
        <v>2178</v>
      </c>
      <c r="Q99" s="21"/>
      <c r="R99" s="21"/>
      <c r="S99" s="146">
        <f t="shared" si="3"/>
        <v>0</v>
      </c>
      <c r="T99" s="21" t="s">
        <v>204</v>
      </c>
      <c r="U99" s="11" t="s">
        <v>204</v>
      </c>
      <c r="V99" s="194">
        <v>45904</v>
      </c>
    </row>
    <row r="100" spans="2:22">
      <c r="B100" s="155" t="s">
        <v>435</v>
      </c>
      <c r="C100" s="155" t="s">
        <v>63</v>
      </c>
      <c r="D100" s="155" t="s">
        <v>64</v>
      </c>
      <c r="E100" s="186">
        <v>45904</v>
      </c>
      <c r="F100" s="240" t="s">
        <v>436</v>
      </c>
      <c r="G100" s="161">
        <v>4951</v>
      </c>
      <c r="H100" s="419"/>
      <c r="I100" s="162"/>
      <c r="J100" s="144">
        <f t="shared" si="2"/>
        <v>4951</v>
      </c>
      <c r="K100" s="140"/>
      <c r="L100" s="187">
        <v>45906</v>
      </c>
      <c r="M100" s="145">
        <v>0</v>
      </c>
      <c r="N100" s="145">
        <v>0</v>
      </c>
      <c r="O100" s="140"/>
      <c r="P100" s="21">
        <v>4951</v>
      </c>
      <c r="Q100" s="21"/>
      <c r="R100" s="21"/>
      <c r="S100" s="146">
        <f t="shared" si="3"/>
        <v>0</v>
      </c>
      <c r="T100" s="21" t="s">
        <v>204</v>
      </c>
      <c r="U100" s="11" t="s">
        <v>204</v>
      </c>
      <c r="V100" s="273">
        <v>45937</v>
      </c>
    </row>
    <row r="101" spans="2:22">
      <c r="B101" s="155" t="s">
        <v>437</v>
      </c>
      <c r="C101" s="155" t="s">
        <v>56</v>
      </c>
      <c r="D101" s="155" t="s">
        <v>31</v>
      </c>
      <c r="E101" s="186">
        <v>45904</v>
      </c>
      <c r="F101" s="240" t="s">
        <v>438</v>
      </c>
      <c r="G101" s="161">
        <v>13085</v>
      </c>
      <c r="H101" s="419"/>
      <c r="I101" s="162"/>
      <c r="J101" s="144">
        <f t="shared" si="2"/>
        <v>13085</v>
      </c>
      <c r="K101" s="140"/>
      <c r="L101" s="187">
        <v>45906</v>
      </c>
      <c r="M101" s="145">
        <v>0</v>
      </c>
      <c r="N101" s="145">
        <v>0</v>
      </c>
      <c r="O101" s="140"/>
      <c r="P101" s="21">
        <v>13085</v>
      </c>
      <c r="Q101" s="21"/>
      <c r="R101" s="21"/>
      <c r="S101" s="146">
        <f t="shared" si="3"/>
        <v>0</v>
      </c>
      <c r="T101" s="21" t="s">
        <v>204</v>
      </c>
      <c r="U101" s="11" t="s">
        <v>204</v>
      </c>
      <c r="V101" s="194">
        <v>45912</v>
      </c>
    </row>
    <row r="102" spans="2:22">
      <c r="B102" s="155" t="s">
        <v>439</v>
      </c>
      <c r="C102" s="155" t="s">
        <v>48</v>
      </c>
      <c r="D102" s="155" t="s">
        <v>26</v>
      </c>
      <c r="E102" s="186">
        <v>45904</v>
      </c>
      <c r="F102" s="240" t="s">
        <v>440</v>
      </c>
      <c r="G102" s="161">
        <v>5296</v>
      </c>
      <c r="H102" s="419"/>
      <c r="I102" s="162"/>
      <c r="J102" s="144">
        <f t="shared" si="2"/>
        <v>5296</v>
      </c>
      <c r="K102" s="140"/>
      <c r="L102" s="187">
        <v>45919</v>
      </c>
      <c r="M102" s="145">
        <v>0</v>
      </c>
      <c r="N102" s="145">
        <v>0</v>
      </c>
      <c r="O102" s="140"/>
      <c r="P102" s="21">
        <v>5296</v>
      </c>
      <c r="Q102" s="21"/>
      <c r="R102" s="21"/>
      <c r="S102" s="146">
        <f t="shared" si="3"/>
        <v>0</v>
      </c>
      <c r="T102" s="21" t="s">
        <v>423</v>
      </c>
      <c r="U102" s="11"/>
      <c r="V102" s="193"/>
    </row>
    <row r="103" spans="2:22">
      <c r="B103" s="155" t="s">
        <v>441</v>
      </c>
      <c r="C103" s="155" t="s">
        <v>31</v>
      </c>
      <c r="D103" s="155" t="s">
        <v>128</v>
      </c>
      <c r="E103" s="186">
        <v>45904</v>
      </c>
      <c r="F103" s="156">
        <v>2600</v>
      </c>
      <c r="G103" s="161">
        <v>352996</v>
      </c>
      <c r="H103" s="419">
        <f>10590+17256</f>
        <v>27846</v>
      </c>
      <c r="I103" s="162">
        <v>7060</v>
      </c>
      <c r="J103" s="144">
        <f t="shared" si="2"/>
        <v>318090</v>
      </c>
      <c r="K103" s="140"/>
      <c r="L103" s="187">
        <v>45919</v>
      </c>
      <c r="M103" s="145">
        <v>0</v>
      </c>
      <c r="N103" s="145">
        <v>0</v>
      </c>
      <c r="O103" s="140"/>
      <c r="P103" s="21">
        <v>198090</v>
      </c>
      <c r="Q103" s="50">
        <v>120000</v>
      </c>
      <c r="R103" s="344"/>
      <c r="S103" s="146">
        <f t="shared" si="3"/>
        <v>0</v>
      </c>
      <c r="T103" s="21" t="s">
        <v>1217</v>
      </c>
      <c r="U103" s="11" t="s">
        <v>204</v>
      </c>
      <c r="V103" s="194">
        <v>45968</v>
      </c>
    </row>
    <row r="104" spans="2:22">
      <c r="B104" s="155" t="s">
        <v>305</v>
      </c>
      <c r="C104" s="155" t="s">
        <v>31</v>
      </c>
      <c r="D104" s="155" t="s">
        <v>128</v>
      </c>
      <c r="E104" s="186">
        <v>45904</v>
      </c>
      <c r="F104" s="156">
        <v>2620</v>
      </c>
      <c r="G104" s="161">
        <v>38036</v>
      </c>
      <c r="H104" s="419">
        <v>1141</v>
      </c>
      <c r="I104" s="162"/>
      <c r="J104" s="144">
        <f t="shared" si="2"/>
        <v>36895</v>
      </c>
      <c r="K104" s="140"/>
      <c r="L104" s="187">
        <v>45919</v>
      </c>
      <c r="M104" s="145">
        <v>0</v>
      </c>
      <c r="N104" s="145">
        <v>0</v>
      </c>
      <c r="O104" s="140"/>
      <c r="P104" s="21">
        <v>34680</v>
      </c>
      <c r="Q104" s="21"/>
      <c r="R104" s="344">
        <v>2215</v>
      </c>
      <c r="S104" s="146">
        <f t="shared" si="3"/>
        <v>0</v>
      </c>
      <c r="T104" s="21" t="s">
        <v>843</v>
      </c>
      <c r="U104" s="11" t="s">
        <v>204</v>
      </c>
      <c r="V104" s="193"/>
    </row>
    <row r="105" spans="2:22">
      <c r="B105" s="155" t="s">
        <v>41</v>
      </c>
      <c r="C105" s="155" t="s">
        <v>31</v>
      </c>
      <c r="D105" s="155" t="s">
        <v>128</v>
      </c>
      <c r="E105" s="186">
        <v>45904</v>
      </c>
      <c r="F105" s="156">
        <v>2540</v>
      </c>
      <c r="G105" s="161">
        <v>1075899</v>
      </c>
      <c r="H105" s="419">
        <v>32277</v>
      </c>
      <c r="I105" s="162">
        <v>21518</v>
      </c>
      <c r="J105" s="144">
        <f t="shared" si="2"/>
        <v>1022104</v>
      </c>
      <c r="K105" s="140"/>
      <c r="L105" s="187">
        <v>45919</v>
      </c>
      <c r="M105" s="145">
        <v>0</v>
      </c>
      <c r="N105" s="145">
        <v>0</v>
      </c>
      <c r="O105" s="140"/>
      <c r="P105" s="21">
        <v>275630</v>
      </c>
      <c r="Q105" s="21">
        <v>746474</v>
      </c>
      <c r="R105" s="21"/>
      <c r="S105" s="146">
        <f t="shared" si="3"/>
        <v>0</v>
      </c>
      <c r="T105" s="21" t="s">
        <v>204</v>
      </c>
      <c r="U105" s="11" t="s">
        <v>204</v>
      </c>
      <c r="V105" s="194">
        <v>45914</v>
      </c>
    </row>
    <row r="106" spans="2:22">
      <c r="B106" s="155" t="s">
        <v>41</v>
      </c>
      <c r="C106" s="155" t="s">
        <v>31</v>
      </c>
      <c r="D106" s="155" t="s">
        <v>128</v>
      </c>
      <c r="E106" s="186">
        <v>45904</v>
      </c>
      <c r="F106" s="156">
        <v>2650</v>
      </c>
      <c r="G106" s="161">
        <v>367901</v>
      </c>
      <c r="H106" s="419">
        <v>11037</v>
      </c>
      <c r="I106" s="162">
        <v>7358</v>
      </c>
      <c r="J106" s="144">
        <f t="shared" si="2"/>
        <v>349506</v>
      </c>
      <c r="K106" s="140"/>
      <c r="L106" s="187">
        <v>45919</v>
      </c>
      <c r="M106" s="145">
        <v>0</v>
      </c>
      <c r="N106" s="145">
        <v>0</v>
      </c>
      <c r="O106" s="140"/>
      <c r="P106" s="21">
        <v>349500</v>
      </c>
      <c r="Q106" s="21">
        <v>6</v>
      </c>
      <c r="R106" s="21"/>
      <c r="S106" s="146">
        <f t="shared" si="3"/>
        <v>0</v>
      </c>
      <c r="T106" s="21" t="s">
        <v>204</v>
      </c>
      <c r="U106" s="11" t="s">
        <v>204</v>
      </c>
      <c r="V106" s="194">
        <v>45911</v>
      </c>
    </row>
    <row r="107" spans="2:22">
      <c r="B107" s="155" t="s">
        <v>442</v>
      </c>
      <c r="C107" s="155" t="s">
        <v>31</v>
      </c>
      <c r="D107" s="155" t="s">
        <v>128</v>
      </c>
      <c r="E107" s="186">
        <v>45904</v>
      </c>
      <c r="F107" s="156">
        <v>2570</v>
      </c>
      <c r="G107" s="161">
        <v>21150</v>
      </c>
      <c r="H107" s="419">
        <v>423</v>
      </c>
      <c r="I107" s="162"/>
      <c r="J107" s="144">
        <f t="shared" si="2"/>
        <v>20727</v>
      </c>
      <c r="K107" s="140"/>
      <c r="L107" s="187">
        <v>45919</v>
      </c>
      <c r="M107" s="145">
        <v>0</v>
      </c>
      <c r="N107" s="145">
        <v>0</v>
      </c>
      <c r="O107" s="140"/>
      <c r="P107" s="21">
        <v>20727</v>
      </c>
      <c r="Q107" s="21"/>
      <c r="R107" s="21"/>
      <c r="S107" s="146">
        <f t="shared" si="3"/>
        <v>0</v>
      </c>
      <c r="T107" s="21" t="s">
        <v>204</v>
      </c>
      <c r="U107" s="11" t="s">
        <v>204</v>
      </c>
      <c r="V107" s="194">
        <v>45924</v>
      </c>
    </row>
    <row r="108" spans="2:22">
      <c r="B108" s="155" t="s">
        <v>443</v>
      </c>
      <c r="C108" s="155" t="s">
        <v>31</v>
      </c>
      <c r="D108" s="155" t="s">
        <v>128</v>
      </c>
      <c r="E108" s="186">
        <v>45904</v>
      </c>
      <c r="F108" s="156">
        <v>2610</v>
      </c>
      <c r="G108" s="161">
        <v>28499</v>
      </c>
      <c r="H108" s="419">
        <v>570</v>
      </c>
      <c r="I108" s="162"/>
      <c r="J108" s="144">
        <f t="shared" si="2"/>
        <v>27929</v>
      </c>
      <c r="K108" s="140"/>
      <c r="L108" s="187">
        <v>45919</v>
      </c>
      <c r="M108" s="145">
        <v>0</v>
      </c>
      <c r="N108" s="145">
        <v>0</v>
      </c>
      <c r="O108" s="140"/>
      <c r="P108" s="21">
        <v>27929</v>
      </c>
      <c r="Q108" s="21"/>
      <c r="R108" s="21"/>
      <c r="S108" s="146">
        <f t="shared" si="3"/>
        <v>0</v>
      </c>
      <c r="T108" s="21" t="s">
        <v>464</v>
      </c>
      <c r="U108" s="11" t="s">
        <v>204</v>
      </c>
      <c r="V108" s="194">
        <v>45923</v>
      </c>
    </row>
    <row r="109" spans="2:22">
      <c r="B109" s="155" t="s">
        <v>954</v>
      </c>
      <c r="C109" s="155" t="s">
        <v>31</v>
      </c>
      <c r="D109" s="155" t="s">
        <v>128</v>
      </c>
      <c r="E109" s="186">
        <v>45904</v>
      </c>
      <c r="F109" s="156">
        <v>2550</v>
      </c>
      <c r="G109" s="161">
        <v>20707</v>
      </c>
      <c r="H109" s="419">
        <v>414</v>
      </c>
      <c r="I109" s="162"/>
      <c r="J109" s="144">
        <f t="shared" si="2"/>
        <v>20293</v>
      </c>
      <c r="K109" s="140"/>
      <c r="L109" s="187">
        <v>45919</v>
      </c>
      <c r="M109" s="145">
        <v>0</v>
      </c>
      <c r="N109" s="145">
        <v>0</v>
      </c>
      <c r="O109" s="140"/>
      <c r="P109" s="21">
        <v>20293</v>
      </c>
      <c r="Q109" s="21"/>
      <c r="R109" s="21"/>
      <c r="S109" s="146">
        <f t="shared" si="3"/>
        <v>0</v>
      </c>
      <c r="T109" s="21" t="s">
        <v>204</v>
      </c>
      <c r="U109" s="11" t="s">
        <v>204</v>
      </c>
      <c r="V109" s="194">
        <v>45908</v>
      </c>
    </row>
    <row r="110" spans="2:22">
      <c r="B110" s="78" t="s">
        <v>445</v>
      </c>
      <c r="C110" s="21" t="s">
        <v>432</v>
      </c>
      <c r="D110" s="21" t="s">
        <v>64</v>
      </c>
      <c r="E110" s="170">
        <v>45905</v>
      </c>
      <c r="F110" s="241" t="s">
        <v>446</v>
      </c>
      <c r="G110" s="21">
        <v>1507</v>
      </c>
      <c r="H110" s="420"/>
      <c r="I110" s="139"/>
      <c r="J110" s="144">
        <f t="shared" si="2"/>
        <v>1507</v>
      </c>
      <c r="K110" s="140"/>
      <c r="L110" s="187">
        <v>45905</v>
      </c>
      <c r="M110" s="145">
        <f ca="1">+$A$1-E110</f>
        <v>85</v>
      </c>
      <c r="N110" s="145">
        <f ca="1">$A$1-L110</f>
        <v>85</v>
      </c>
      <c r="O110" s="140"/>
      <c r="P110" s="21">
        <v>243</v>
      </c>
      <c r="Q110" s="21"/>
      <c r="R110" s="21"/>
      <c r="S110" s="146">
        <f t="shared" si="3"/>
        <v>1264</v>
      </c>
      <c r="T110" s="21"/>
      <c r="U110" s="11"/>
      <c r="V110" s="193"/>
    </row>
    <row r="111" spans="2:22">
      <c r="B111" s="156" t="s">
        <v>445</v>
      </c>
      <c r="C111" s="155" t="s">
        <v>432</v>
      </c>
      <c r="D111" s="155" t="s">
        <v>26</v>
      </c>
      <c r="E111" s="186">
        <v>45905</v>
      </c>
      <c r="F111" s="240" t="s">
        <v>430</v>
      </c>
      <c r="G111" s="161">
        <v>2262</v>
      </c>
      <c r="H111" s="419"/>
      <c r="I111" s="162"/>
      <c r="J111" s="144">
        <f t="shared" si="2"/>
        <v>2262</v>
      </c>
      <c r="K111" s="140"/>
      <c r="L111" s="187">
        <v>45905</v>
      </c>
      <c r="M111" s="145">
        <v>0</v>
      </c>
      <c r="N111" s="145">
        <v>0</v>
      </c>
      <c r="O111" s="140"/>
      <c r="P111" s="21">
        <v>2262</v>
      </c>
      <c r="Q111" s="21"/>
      <c r="R111" s="21"/>
      <c r="S111" s="146">
        <f t="shared" si="3"/>
        <v>0</v>
      </c>
      <c r="T111" s="21" t="s">
        <v>204</v>
      </c>
      <c r="U111" s="11" t="s">
        <v>204</v>
      </c>
      <c r="V111" s="273">
        <v>45932</v>
      </c>
    </row>
    <row r="112" spans="2:22">
      <c r="B112" s="155" t="s">
        <v>447</v>
      </c>
      <c r="C112" s="155" t="s">
        <v>48</v>
      </c>
      <c r="D112" s="155" t="s">
        <v>26</v>
      </c>
      <c r="E112" s="186">
        <v>45905</v>
      </c>
      <c r="F112" s="240" t="s">
        <v>448</v>
      </c>
      <c r="G112" s="155">
        <v>12257</v>
      </c>
      <c r="H112" s="419"/>
      <c r="I112" s="162"/>
      <c r="J112" s="144">
        <f t="shared" si="2"/>
        <v>12257</v>
      </c>
      <c r="K112" s="140"/>
      <c r="L112" s="141">
        <v>45916</v>
      </c>
      <c r="M112" s="145">
        <v>0</v>
      </c>
      <c r="N112" s="145">
        <v>0</v>
      </c>
      <c r="O112" s="140"/>
      <c r="P112" s="21">
        <v>12257</v>
      </c>
      <c r="Q112" s="21"/>
      <c r="R112" s="21"/>
      <c r="S112" s="146">
        <f t="shared" si="3"/>
        <v>0</v>
      </c>
      <c r="T112" s="21" t="s">
        <v>204</v>
      </c>
      <c r="U112" s="11" t="s">
        <v>204</v>
      </c>
      <c r="V112" s="194">
        <v>45916</v>
      </c>
    </row>
    <row r="113" spans="2:22">
      <c r="B113" s="155" t="s">
        <v>449</v>
      </c>
      <c r="C113" s="155" t="s">
        <v>31</v>
      </c>
      <c r="D113" s="155" t="s">
        <v>128</v>
      </c>
      <c r="E113" s="186">
        <v>45905</v>
      </c>
      <c r="F113" s="240" t="s">
        <v>450</v>
      </c>
      <c r="G113" s="155">
        <v>154681</v>
      </c>
      <c r="H113" s="419">
        <v>6140</v>
      </c>
      <c r="I113" s="162">
        <v>3094</v>
      </c>
      <c r="J113" s="144">
        <f t="shared" si="2"/>
        <v>145447</v>
      </c>
      <c r="K113" s="140"/>
      <c r="L113" s="187">
        <v>45920</v>
      </c>
      <c r="M113" s="145">
        <v>0</v>
      </c>
      <c r="N113" s="145">
        <v>0</v>
      </c>
      <c r="O113" s="140"/>
      <c r="P113" s="21">
        <v>106947</v>
      </c>
      <c r="Q113" s="21">
        <v>38500</v>
      </c>
      <c r="R113" s="21"/>
      <c r="S113" s="146">
        <f t="shared" si="3"/>
        <v>0</v>
      </c>
      <c r="T113" s="21" t="s">
        <v>204</v>
      </c>
      <c r="U113" s="11" t="s">
        <v>204</v>
      </c>
      <c r="V113" s="273">
        <v>45937</v>
      </c>
    </row>
    <row r="114" spans="2:22">
      <c r="B114" s="155" t="s">
        <v>90</v>
      </c>
      <c r="C114" s="155" t="s">
        <v>31</v>
      </c>
      <c r="D114" s="155" t="s">
        <v>128</v>
      </c>
      <c r="E114" s="186">
        <v>45905</v>
      </c>
      <c r="F114" s="156">
        <v>2690</v>
      </c>
      <c r="G114" s="161">
        <v>29941</v>
      </c>
      <c r="H114" s="419"/>
      <c r="I114" s="162"/>
      <c r="J114" s="144">
        <f t="shared" si="2"/>
        <v>29941</v>
      </c>
      <c r="K114" s="140"/>
      <c r="L114" s="187">
        <v>45920</v>
      </c>
      <c r="M114" s="145">
        <v>0</v>
      </c>
      <c r="N114" s="145">
        <v>0</v>
      </c>
      <c r="O114" s="140"/>
      <c r="P114" s="21">
        <v>29941</v>
      </c>
      <c r="Q114" s="21"/>
      <c r="R114" s="21"/>
      <c r="S114" s="146">
        <f t="shared" si="3"/>
        <v>0</v>
      </c>
      <c r="T114" s="21" t="s">
        <v>204</v>
      </c>
      <c r="U114" s="11" t="s">
        <v>204</v>
      </c>
      <c r="V114" s="194">
        <v>45911</v>
      </c>
    </row>
    <row r="115" spans="2:22">
      <c r="B115" s="155" t="s">
        <v>222</v>
      </c>
      <c r="C115" s="155" t="s">
        <v>31</v>
      </c>
      <c r="D115" s="155" t="s">
        <v>128</v>
      </c>
      <c r="E115" s="186">
        <v>45905</v>
      </c>
      <c r="F115" s="156">
        <v>2700</v>
      </c>
      <c r="G115" s="161">
        <v>22825</v>
      </c>
      <c r="H115" s="419"/>
      <c r="I115" s="162"/>
      <c r="J115" s="144">
        <f t="shared" si="2"/>
        <v>22825</v>
      </c>
      <c r="K115" s="140"/>
      <c r="L115" s="187">
        <v>45920</v>
      </c>
      <c r="M115" s="145">
        <v>0</v>
      </c>
      <c r="N115" s="145">
        <v>0</v>
      </c>
      <c r="O115" s="140"/>
      <c r="P115" s="21">
        <v>22825</v>
      </c>
      <c r="Q115" s="21"/>
      <c r="R115" s="21"/>
      <c r="S115" s="146">
        <f t="shared" si="3"/>
        <v>0</v>
      </c>
      <c r="T115" s="21"/>
      <c r="U115" s="11"/>
      <c r="V115" s="193"/>
    </row>
    <row r="116" spans="2:22">
      <c r="B116" s="155" t="s">
        <v>223</v>
      </c>
      <c r="C116" s="155" t="s">
        <v>31</v>
      </c>
      <c r="D116" s="155" t="s">
        <v>128</v>
      </c>
      <c r="E116" s="186">
        <v>45905</v>
      </c>
      <c r="F116" s="156">
        <v>2750</v>
      </c>
      <c r="G116" s="161">
        <v>58826</v>
      </c>
      <c r="H116" s="419"/>
      <c r="I116" s="162"/>
      <c r="J116" s="144">
        <f t="shared" ref="J116:J119" si="4">+G116-H116-I116</f>
        <v>58826</v>
      </c>
      <c r="K116" s="140"/>
      <c r="L116" s="187">
        <v>45920</v>
      </c>
      <c r="M116" s="145">
        <v>0</v>
      </c>
      <c r="N116" s="145">
        <v>0</v>
      </c>
      <c r="O116" s="140"/>
      <c r="P116" s="21">
        <v>58826</v>
      </c>
      <c r="Q116" s="21"/>
      <c r="R116" s="21"/>
      <c r="S116" s="146">
        <f t="shared" ref="S116:S119" si="5">+J116-SUM(P116:R116)</f>
        <v>0</v>
      </c>
      <c r="T116" s="21" t="s">
        <v>464</v>
      </c>
      <c r="U116" s="11" t="s">
        <v>204</v>
      </c>
      <c r="V116" s="194">
        <v>45913</v>
      </c>
    </row>
    <row r="117" spans="2:22">
      <c r="B117" s="298" t="s">
        <v>451</v>
      </c>
      <c r="C117" s="21" t="s">
        <v>31</v>
      </c>
      <c r="D117" s="21" t="s">
        <v>128</v>
      </c>
      <c r="E117" s="170">
        <v>45905</v>
      </c>
      <c r="F117" s="78">
        <v>2660</v>
      </c>
      <c r="G117" s="99">
        <v>59681</v>
      </c>
      <c r="H117" s="420"/>
      <c r="I117" s="139"/>
      <c r="J117" s="144">
        <f t="shared" si="4"/>
        <v>59681</v>
      </c>
      <c r="K117" s="140"/>
      <c r="L117" s="187">
        <v>45920</v>
      </c>
      <c r="M117" s="145">
        <f ca="1">+$A$1-E117</f>
        <v>85</v>
      </c>
      <c r="N117" s="145">
        <f ca="1">$A$1-L117</f>
        <v>70</v>
      </c>
      <c r="O117" s="140"/>
      <c r="P117" s="21">
        <v>54270</v>
      </c>
      <c r="Q117" s="21"/>
      <c r="R117" s="21"/>
      <c r="S117" s="146">
        <f t="shared" si="5"/>
        <v>5411</v>
      </c>
      <c r="T117" s="21"/>
      <c r="U117" s="11"/>
      <c r="V117" s="193"/>
    </row>
    <row r="118" spans="2:22">
      <c r="B118" s="155" t="s">
        <v>452</v>
      </c>
      <c r="C118" s="155" t="s">
        <v>31</v>
      </c>
      <c r="D118" s="155" t="s">
        <v>128</v>
      </c>
      <c r="E118" s="186">
        <v>45905</v>
      </c>
      <c r="F118" s="156">
        <v>2710</v>
      </c>
      <c r="G118" s="161">
        <v>81809</v>
      </c>
      <c r="H118" s="419">
        <f>2741+2</f>
        <v>2743</v>
      </c>
      <c r="I118" s="162"/>
      <c r="J118" s="144">
        <f t="shared" si="4"/>
        <v>79066</v>
      </c>
      <c r="K118" s="140"/>
      <c r="L118" s="187">
        <v>45920</v>
      </c>
      <c r="M118" s="145">
        <v>0</v>
      </c>
      <c r="N118" s="145">
        <v>0</v>
      </c>
      <c r="O118" s="140"/>
      <c r="P118" s="21">
        <v>72560</v>
      </c>
      <c r="Q118" s="21">
        <v>4150</v>
      </c>
      <c r="R118" s="344">
        <v>2356</v>
      </c>
      <c r="S118" s="146">
        <f t="shared" si="5"/>
        <v>0</v>
      </c>
      <c r="T118" s="21" t="s">
        <v>204</v>
      </c>
      <c r="U118" s="11" t="s">
        <v>204</v>
      </c>
      <c r="V118" s="194">
        <v>45971</v>
      </c>
    </row>
    <row r="119" spans="2:22">
      <c r="B119" s="155" t="s">
        <v>453</v>
      </c>
      <c r="C119" s="155" t="s">
        <v>63</v>
      </c>
      <c r="D119" s="155" t="s">
        <v>390</v>
      </c>
      <c r="E119" s="186">
        <v>45905</v>
      </c>
      <c r="F119" s="240" t="s">
        <v>454</v>
      </c>
      <c r="G119" s="161">
        <v>17437</v>
      </c>
      <c r="H119" s="419"/>
      <c r="I119" s="162"/>
      <c r="J119" s="144">
        <f t="shared" si="4"/>
        <v>17437</v>
      </c>
      <c r="K119" s="140"/>
      <c r="L119" s="141">
        <v>45906</v>
      </c>
      <c r="M119" s="145">
        <v>0</v>
      </c>
      <c r="N119" s="145">
        <v>0</v>
      </c>
      <c r="O119" s="140"/>
      <c r="P119" s="21">
        <v>17437</v>
      </c>
      <c r="Q119" s="21"/>
      <c r="R119" s="21"/>
      <c r="S119" s="146">
        <f t="shared" si="5"/>
        <v>0</v>
      </c>
      <c r="T119" s="21" t="s">
        <v>204</v>
      </c>
      <c r="U119" s="11"/>
      <c r="V119" s="193"/>
    </row>
    <row r="120" spans="2:22">
      <c r="B120" s="155" t="s">
        <v>157</v>
      </c>
      <c r="C120" s="155" t="s">
        <v>31</v>
      </c>
      <c r="D120" s="155" t="s">
        <v>128</v>
      </c>
      <c r="E120" s="186">
        <v>45907</v>
      </c>
      <c r="F120" s="240" t="s">
        <v>456</v>
      </c>
      <c r="G120" s="155">
        <v>96375</v>
      </c>
      <c r="H120" s="419"/>
      <c r="I120" s="162"/>
      <c r="J120" s="144">
        <f t="shared" ref="J120:J127" si="6">+G120-H120-I120</f>
        <v>96375</v>
      </c>
      <c r="K120" s="140"/>
      <c r="L120" s="187">
        <v>45922</v>
      </c>
      <c r="M120" s="145">
        <v>0</v>
      </c>
      <c r="N120" s="145">
        <v>0</v>
      </c>
      <c r="O120" s="140"/>
      <c r="P120" s="21">
        <v>96375</v>
      </c>
      <c r="Q120" s="21"/>
      <c r="R120" s="21"/>
      <c r="S120" s="146">
        <f t="shared" ref="S120:S127" si="7">+J120-SUM(P120:R120)</f>
        <v>0</v>
      </c>
      <c r="T120" s="21" t="s">
        <v>204</v>
      </c>
      <c r="U120" s="11" t="s">
        <v>204</v>
      </c>
      <c r="V120" s="194">
        <v>45920</v>
      </c>
    </row>
    <row r="121" spans="2:22">
      <c r="B121" s="155" t="s">
        <v>457</v>
      </c>
      <c r="C121" s="155" t="s">
        <v>56</v>
      </c>
      <c r="D121" s="155" t="s">
        <v>31</v>
      </c>
      <c r="E121" s="186">
        <v>45907</v>
      </c>
      <c r="F121" s="240" t="s">
        <v>458</v>
      </c>
      <c r="G121" s="155">
        <v>8740</v>
      </c>
      <c r="H121" s="419"/>
      <c r="I121" s="162"/>
      <c r="J121" s="144">
        <f t="shared" si="6"/>
        <v>8740</v>
      </c>
      <c r="K121" s="140"/>
      <c r="L121" s="187">
        <v>45907</v>
      </c>
      <c r="M121" s="145">
        <v>0</v>
      </c>
      <c r="N121" s="145">
        <v>0</v>
      </c>
      <c r="O121" s="140"/>
      <c r="P121" s="21">
        <v>8740</v>
      </c>
      <c r="Q121" s="21"/>
      <c r="R121" s="21"/>
      <c r="S121" s="146">
        <f t="shared" si="7"/>
        <v>0</v>
      </c>
      <c r="T121" t="s">
        <v>204</v>
      </c>
      <c r="U121" s="11" t="s">
        <v>204</v>
      </c>
      <c r="V121" s="194">
        <v>45908</v>
      </c>
    </row>
    <row r="122" spans="2:22">
      <c r="B122" s="155" t="s">
        <v>459</v>
      </c>
      <c r="C122" s="155" t="s">
        <v>48</v>
      </c>
      <c r="D122" s="155" t="s">
        <v>26</v>
      </c>
      <c r="E122" s="186">
        <v>45907</v>
      </c>
      <c r="F122" s="240" t="s">
        <v>460</v>
      </c>
      <c r="G122" s="155">
        <v>8765</v>
      </c>
      <c r="H122" s="419"/>
      <c r="I122" s="162"/>
      <c r="J122" s="144">
        <f t="shared" si="6"/>
        <v>8765</v>
      </c>
      <c r="K122" s="140"/>
      <c r="L122" s="187">
        <v>45907</v>
      </c>
      <c r="M122" s="145">
        <v>0</v>
      </c>
      <c r="N122" s="145">
        <v>0</v>
      </c>
      <c r="O122" s="140"/>
      <c r="P122" s="21">
        <v>8765</v>
      </c>
      <c r="Q122" s="21"/>
      <c r="R122" s="21"/>
      <c r="S122" s="146">
        <f t="shared" si="7"/>
        <v>0</v>
      </c>
      <c r="T122" s="21" t="s">
        <v>464</v>
      </c>
      <c r="U122" s="11" t="s">
        <v>204</v>
      </c>
      <c r="V122" s="194">
        <v>45908</v>
      </c>
    </row>
    <row r="123" spans="2:22">
      <c r="B123" s="155" t="s">
        <v>461</v>
      </c>
      <c r="C123" s="155" t="s">
        <v>48</v>
      </c>
      <c r="D123" s="155" t="s">
        <v>26</v>
      </c>
      <c r="E123" s="186">
        <v>45907</v>
      </c>
      <c r="F123" s="240" t="s">
        <v>462</v>
      </c>
      <c r="G123" s="155">
        <v>3324</v>
      </c>
      <c r="H123" s="419"/>
      <c r="I123" s="162"/>
      <c r="J123" s="144">
        <f t="shared" si="6"/>
        <v>3324</v>
      </c>
      <c r="K123" s="140"/>
      <c r="L123" s="187">
        <v>45907</v>
      </c>
      <c r="M123" s="145">
        <v>0</v>
      </c>
      <c r="N123" s="145">
        <v>0</v>
      </c>
      <c r="O123" s="140"/>
      <c r="P123" s="21">
        <v>3324</v>
      </c>
      <c r="Q123" s="21"/>
      <c r="R123" s="21"/>
      <c r="S123" s="146">
        <f t="shared" si="7"/>
        <v>0</v>
      </c>
      <c r="T123" s="21" t="s">
        <v>204</v>
      </c>
      <c r="U123" s="21" t="s">
        <v>204</v>
      </c>
      <c r="V123" s="194">
        <v>45908</v>
      </c>
    </row>
    <row r="124" spans="2:22">
      <c r="B124" s="155" t="s">
        <v>233</v>
      </c>
      <c r="C124" s="155" t="s">
        <v>31</v>
      </c>
      <c r="D124" s="155" t="s">
        <v>128</v>
      </c>
      <c r="E124" s="186">
        <v>45908</v>
      </c>
      <c r="F124" s="156">
        <v>2870</v>
      </c>
      <c r="G124" s="161">
        <v>38929</v>
      </c>
      <c r="H124" s="419">
        <v>1168</v>
      </c>
      <c r="I124" s="162"/>
      <c r="J124" s="144">
        <f t="shared" si="6"/>
        <v>37761</v>
      </c>
      <c r="K124" s="140"/>
      <c r="L124" s="187">
        <v>45923</v>
      </c>
      <c r="M124" s="145">
        <v>0</v>
      </c>
      <c r="N124" s="145">
        <v>0</v>
      </c>
      <c r="O124" s="140"/>
      <c r="P124" s="21">
        <v>37761</v>
      </c>
      <c r="Q124" s="21"/>
      <c r="R124" s="21"/>
      <c r="S124" s="146">
        <f t="shared" si="7"/>
        <v>0</v>
      </c>
      <c r="T124" s="21" t="s">
        <v>204</v>
      </c>
      <c r="U124" s="21" t="s">
        <v>204</v>
      </c>
      <c r="V124" s="273">
        <v>45934</v>
      </c>
    </row>
    <row r="125" spans="2:22">
      <c r="B125" s="155" t="s">
        <v>108</v>
      </c>
      <c r="C125" s="155" t="s">
        <v>31</v>
      </c>
      <c r="D125" s="155" t="s">
        <v>128</v>
      </c>
      <c r="E125" s="186">
        <v>45908</v>
      </c>
      <c r="F125" s="156">
        <v>2880</v>
      </c>
      <c r="G125" s="161">
        <v>104724</v>
      </c>
      <c r="H125" s="419"/>
      <c r="I125" s="162"/>
      <c r="J125" s="144">
        <f t="shared" si="6"/>
        <v>104724</v>
      </c>
      <c r="K125" s="140"/>
      <c r="L125" s="187">
        <v>45923</v>
      </c>
      <c r="M125" s="145">
        <v>0</v>
      </c>
      <c r="N125" s="145">
        <v>0</v>
      </c>
      <c r="O125" s="140"/>
      <c r="P125" s="21">
        <v>104724</v>
      </c>
      <c r="Q125" s="21"/>
      <c r="R125" s="21"/>
      <c r="S125" s="146">
        <f t="shared" si="7"/>
        <v>0</v>
      </c>
      <c r="T125" s="21" t="s">
        <v>204</v>
      </c>
      <c r="U125" s="11" t="s">
        <v>204</v>
      </c>
      <c r="V125" s="194">
        <v>45927</v>
      </c>
    </row>
    <row r="126" spans="2:22">
      <c r="B126" s="155" t="s">
        <v>466</v>
      </c>
      <c r="C126" s="155" t="s">
        <v>31</v>
      </c>
      <c r="D126" s="155" t="s">
        <v>128</v>
      </c>
      <c r="E126" s="186">
        <v>45908</v>
      </c>
      <c r="F126" s="156">
        <v>2860</v>
      </c>
      <c r="G126" s="161">
        <v>30059</v>
      </c>
      <c r="H126" s="419">
        <v>602</v>
      </c>
      <c r="I126" s="162"/>
      <c r="J126" s="144">
        <f t="shared" si="6"/>
        <v>29457</v>
      </c>
      <c r="K126" s="140"/>
      <c r="L126" s="187">
        <v>45923</v>
      </c>
      <c r="M126" s="145">
        <v>0</v>
      </c>
      <c r="N126" s="145">
        <v>0</v>
      </c>
      <c r="O126" s="140"/>
      <c r="P126" s="21">
        <v>29457</v>
      </c>
      <c r="Q126" s="21"/>
      <c r="R126" s="21"/>
      <c r="S126" s="146">
        <f t="shared" si="7"/>
        <v>0</v>
      </c>
      <c r="T126" s="21" t="s">
        <v>204</v>
      </c>
      <c r="U126" s="11"/>
      <c r="V126" s="193"/>
    </row>
    <row r="127" spans="2:22">
      <c r="B127" s="155" t="s">
        <v>250</v>
      </c>
      <c r="C127" s="155" t="s">
        <v>63</v>
      </c>
      <c r="D127" s="155" t="s">
        <v>64</v>
      </c>
      <c r="E127" s="186">
        <v>45911</v>
      </c>
      <c r="F127" s="240" t="s">
        <v>469</v>
      </c>
      <c r="G127" s="155">
        <v>8226</v>
      </c>
      <c r="H127" s="419"/>
      <c r="I127" s="162"/>
      <c r="J127" s="144">
        <f t="shared" si="6"/>
        <v>8226</v>
      </c>
      <c r="K127" s="140"/>
      <c r="L127" s="141">
        <v>45916</v>
      </c>
      <c r="M127" s="145">
        <v>0</v>
      </c>
      <c r="N127" s="145">
        <v>0</v>
      </c>
      <c r="O127" s="140"/>
      <c r="P127" s="21">
        <v>8226</v>
      </c>
      <c r="Q127" s="21"/>
      <c r="R127" s="21"/>
      <c r="S127" s="146">
        <f t="shared" si="7"/>
        <v>0</v>
      </c>
      <c r="T127" s="21" t="s">
        <v>204</v>
      </c>
      <c r="U127" s="11" t="s">
        <v>204</v>
      </c>
      <c r="V127" s="273">
        <v>45943</v>
      </c>
    </row>
    <row r="128" spans="2:22">
      <c r="B128" s="163" t="s">
        <v>470</v>
      </c>
      <c r="C128" s="155" t="s">
        <v>48</v>
      </c>
      <c r="D128" s="155" t="s">
        <v>26</v>
      </c>
      <c r="E128" s="186">
        <v>45911</v>
      </c>
      <c r="F128" s="240" t="s">
        <v>471</v>
      </c>
      <c r="G128" s="155">
        <v>6242</v>
      </c>
      <c r="H128" s="419"/>
      <c r="I128" s="162"/>
      <c r="J128" s="144">
        <f t="shared" ref="J128:J143" si="8">+G128-H128-I128</f>
        <v>6242</v>
      </c>
      <c r="K128" s="140"/>
      <c r="L128" s="141">
        <v>45916</v>
      </c>
      <c r="M128" s="145">
        <v>0</v>
      </c>
      <c r="N128" s="145">
        <v>0</v>
      </c>
      <c r="O128" s="140"/>
      <c r="P128" s="21">
        <v>6242</v>
      </c>
      <c r="Q128" s="21"/>
      <c r="R128" s="21"/>
      <c r="S128" s="146">
        <f t="shared" ref="S128:S143" si="9">+J128-SUM(P128:R128)</f>
        <v>0</v>
      </c>
      <c r="T128" s="21" t="s">
        <v>204</v>
      </c>
      <c r="U128" s="11" t="s">
        <v>204</v>
      </c>
      <c r="V128" s="194">
        <v>45912</v>
      </c>
    </row>
    <row r="129" spans="2:22">
      <c r="B129" s="155" t="s">
        <v>167</v>
      </c>
      <c r="C129" s="155" t="s">
        <v>48</v>
      </c>
      <c r="D129" s="155" t="s">
        <v>26</v>
      </c>
      <c r="E129" s="186">
        <v>45911</v>
      </c>
      <c r="F129" s="240" t="s">
        <v>473</v>
      </c>
      <c r="G129" s="155">
        <v>16000</v>
      </c>
      <c r="H129" s="419"/>
      <c r="I129" s="162"/>
      <c r="J129" s="144">
        <f t="shared" si="8"/>
        <v>16000</v>
      </c>
      <c r="K129" s="140"/>
      <c r="L129" s="141">
        <v>45916</v>
      </c>
      <c r="M129" s="145">
        <v>0</v>
      </c>
      <c r="N129" s="145">
        <v>0</v>
      </c>
      <c r="O129" s="140"/>
      <c r="P129" s="21">
        <v>16000</v>
      </c>
      <c r="Q129" s="21"/>
      <c r="R129" s="21"/>
      <c r="S129" s="146">
        <f t="shared" si="9"/>
        <v>0</v>
      </c>
      <c r="T129" s="21" t="s">
        <v>464</v>
      </c>
      <c r="U129" s="11" t="s">
        <v>204</v>
      </c>
      <c r="V129" s="194">
        <v>45913</v>
      </c>
    </row>
    <row r="130" spans="2:22">
      <c r="B130" s="155" t="s">
        <v>474</v>
      </c>
      <c r="C130" s="155" t="s">
        <v>56</v>
      </c>
      <c r="D130" s="155" t="s">
        <v>31</v>
      </c>
      <c r="E130" s="186">
        <v>45911</v>
      </c>
      <c r="F130" s="240" t="s">
        <v>498</v>
      </c>
      <c r="G130" s="155">
        <v>12116</v>
      </c>
      <c r="H130" s="419"/>
      <c r="I130" s="162"/>
      <c r="J130" s="144">
        <f t="shared" si="8"/>
        <v>12116</v>
      </c>
      <c r="K130" s="140"/>
      <c r="L130" s="141">
        <v>45916</v>
      </c>
      <c r="M130" s="145">
        <v>0</v>
      </c>
      <c r="N130" s="145">
        <v>0</v>
      </c>
      <c r="O130" s="140"/>
      <c r="P130" s="21">
        <v>12116</v>
      </c>
      <c r="Q130" s="21"/>
      <c r="R130" s="21"/>
      <c r="S130" s="146">
        <f t="shared" si="9"/>
        <v>0</v>
      </c>
      <c r="T130" s="21" t="s">
        <v>204</v>
      </c>
      <c r="U130" s="11" t="s">
        <v>204</v>
      </c>
      <c r="V130" s="194">
        <v>45916</v>
      </c>
    </row>
    <row r="131" spans="2:22">
      <c r="B131" s="155" t="s">
        <v>351</v>
      </c>
      <c r="C131" s="155" t="s">
        <v>56</v>
      </c>
      <c r="D131" s="155" t="s">
        <v>31</v>
      </c>
      <c r="E131" s="186">
        <v>45911</v>
      </c>
      <c r="F131" s="240" t="s">
        <v>275</v>
      </c>
      <c r="G131" s="155">
        <v>10679</v>
      </c>
      <c r="H131" s="419"/>
      <c r="I131" s="162"/>
      <c r="J131" s="144">
        <f t="shared" si="8"/>
        <v>10679</v>
      </c>
      <c r="K131" s="140"/>
      <c r="L131" s="141">
        <v>45916</v>
      </c>
      <c r="M131" s="145">
        <v>0</v>
      </c>
      <c r="N131" s="145">
        <v>0</v>
      </c>
      <c r="O131" s="140"/>
      <c r="P131" s="21">
        <v>10679</v>
      </c>
      <c r="Q131" s="21"/>
      <c r="R131" s="21"/>
      <c r="S131" s="146">
        <f t="shared" si="9"/>
        <v>0</v>
      </c>
      <c r="T131" s="21" t="s">
        <v>204</v>
      </c>
      <c r="U131" s="11" t="s">
        <v>204</v>
      </c>
      <c r="V131" s="194">
        <v>45918</v>
      </c>
    </row>
    <row r="132" spans="2:22">
      <c r="B132" s="155" t="s">
        <v>335</v>
      </c>
      <c r="C132" s="155" t="s">
        <v>31</v>
      </c>
      <c r="D132" s="155" t="s">
        <v>128</v>
      </c>
      <c r="E132" s="186">
        <v>45912</v>
      </c>
      <c r="F132" s="156">
        <v>2950</v>
      </c>
      <c r="G132" s="161"/>
      <c r="H132" s="419"/>
      <c r="I132" s="162"/>
      <c r="J132" s="144">
        <f t="shared" si="8"/>
        <v>0</v>
      </c>
      <c r="K132" s="140"/>
      <c r="L132" s="141">
        <v>45928</v>
      </c>
      <c r="M132" s="145">
        <v>0</v>
      </c>
      <c r="N132" s="145">
        <v>0</v>
      </c>
      <c r="O132" s="140"/>
      <c r="P132" s="21"/>
      <c r="Q132" s="21"/>
      <c r="R132" s="21"/>
      <c r="S132" s="146">
        <f t="shared" si="9"/>
        <v>0</v>
      </c>
      <c r="T132" s="21" t="s">
        <v>204</v>
      </c>
      <c r="U132" s="11" t="s">
        <v>204</v>
      </c>
      <c r="V132" s="193"/>
    </row>
    <row r="133" spans="2:22">
      <c r="B133" s="155" t="s">
        <v>475</v>
      </c>
      <c r="C133" s="155" t="s">
        <v>31</v>
      </c>
      <c r="D133" s="155" t="s">
        <v>128</v>
      </c>
      <c r="E133" s="186">
        <v>45912</v>
      </c>
      <c r="F133" s="156">
        <v>2940</v>
      </c>
      <c r="G133" s="161">
        <v>29979</v>
      </c>
      <c r="H133" s="419">
        <v>599</v>
      </c>
      <c r="I133" s="162"/>
      <c r="J133" s="144">
        <f t="shared" si="8"/>
        <v>29380</v>
      </c>
      <c r="K133" s="140"/>
      <c r="L133" s="141">
        <v>45928</v>
      </c>
      <c r="M133" s="145">
        <v>0</v>
      </c>
      <c r="N133" s="145">
        <v>0</v>
      </c>
      <c r="O133" s="140"/>
      <c r="P133" s="21">
        <v>29380</v>
      </c>
      <c r="Q133" s="21"/>
      <c r="R133" s="21"/>
      <c r="S133" s="146">
        <f t="shared" si="9"/>
        <v>0</v>
      </c>
      <c r="T133" s="21" t="s">
        <v>204</v>
      </c>
      <c r="U133" s="11" t="s">
        <v>204</v>
      </c>
      <c r="V133" s="194">
        <v>45920</v>
      </c>
    </row>
    <row r="134" spans="2:22">
      <c r="B134" s="155" t="s">
        <v>476</v>
      </c>
      <c r="C134" s="155" t="s">
        <v>31</v>
      </c>
      <c r="D134" s="155" t="s">
        <v>128</v>
      </c>
      <c r="E134" s="186">
        <v>45912</v>
      </c>
      <c r="F134" s="156">
        <v>2930</v>
      </c>
      <c r="G134" s="161">
        <v>62659</v>
      </c>
      <c r="H134" s="419">
        <v>1880</v>
      </c>
      <c r="I134" s="162"/>
      <c r="J134" s="144">
        <f t="shared" si="8"/>
        <v>60779</v>
      </c>
      <c r="K134" s="140"/>
      <c r="L134" s="141">
        <v>45928</v>
      </c>
      <c r="M134" s="145">
        <v>0</v>
      </c>
      <c r="N134" s="145">
        <v>0</v>
      </c>
      <c r="O134" s="140"/>
      <c r="P134" s="21">
        <v>60779</v>
      </c>
      <c r="Q134" s="21"/>
      <c r="R134" s="21"/>
      <c r="S134" s="146">
        <f t="shared" si="9"/>
        <v>0</v>
      </c>
      <c r="T134" s="21" t="s">
        <v>204</v>
      </c>
      <c r="U134" s="11" t="s">
        <v>204</v>
      </c>
      <c r="V134" s="273">
        <v>45932</v>
      </c>
    </row>
    <row r="135" spans="2:22">
      <c r="B135" s="155" t="s">
        <v>556</v>
      </c>
      <c r="C135" s="155" t="s">
        <v>31</v>
      </c>
      <c r="D135" s="155" t="s">
        <v>128</v>
      </c>
      <c r="E135" s="186">
        <v>45912</v>
      </c>
      <c r="F135" s="156">
        <v>2960</v>
      </c>
      <c r="G135" s="161">
        <v>82540</v>
      </c>
      <c r="H135" s="419">
        <v>2476</v>
      </c>
      <c r="I135" s="162"/>
      <c r="J135" s="144">
        <f t="shared" si="8"/>
        <v>80064</v>
      </c>
      <c r="K135" s="140"/>
      <c r="L135" s="141">
        <v>45928</v>
      </c>
      <c r="M135" s="145">
        <v>0</v>
      </c>
      <c r="N135" s="145">
        <v>0</v>
      </c>
      <c r="O135" s="140"/>
      <c r="P135" s="21">
        <v>80064</v>
      </c>
      <c r="Q135" s="21"/>
      <c r="R135" s="21"/>
      <c r="S135" s="146">
        <f t="shared" si="9"/>
        <v>0</v>
      </c>
      <c r="T135" s="11" t="s">
        <v>204</v>
      </c>
      <c r="U135" s="11" t="s">
        <v>204</v>
      </c>
      <c r="V135" s="193"/>
    </row>
    <row r="136" spans="2:22">
      <c r="B136" s="155" t="s">
        <v>477</v>
      </c>
      <c r="C136" s="155" t="s">
        <v>31</v>
      </c>
      <c r="D136" s="155" t="s">
        <v>128</v>
      </c>
      <c r="E136" s="186">
        <v>45912</v>
      </c>
      <c r="F136" s="156">
        <v>2920</v>
      </c>
      <c r="G136" s="161"/>
      <c r="H136" s="419"/>
      <c r="I136" s="162"/>
      <c r="J136" s="144">
        <f t="shared" si="8"/>
        <v>0</v>
      </c>
      <c r="K136" s="140"/>
      <c r="L136" s="141">
        <v>45928</v>
      </c>
      <c r="M136" s="145">
        <v>0</v>
      </c>
      <c r="N136" s="145">
        <v>0</v>
      </c>
      <c r="O136" s="140"/>
      <c r="P136" s="21">
        <v>0</v>
      </c>
      <c r="Q136" s="21"/>
      <c r="R136" s="21"/>
      <c r="S136" s="146">
        <f t="shared" si="9"/>
        <v>0</v>
      </c>
      <c r="T136" s="21"/>
      <c r="U136" s="11"/>
      <c r="V136" s="193"/>
    </row>
    <row r="137" spans="2:22">
      <c r="B137" s="155" t="s">
        <v>223</v>
      </c>
      <c r="C137" s="155" t="s">
        <v>31</v>
      </c>
      <c r="D137" s="155" t="s">
        <v>128</v>
      </c>
      <c r="E137" s="157">
        <v>45913</v>
      </c>
      <c r="F137" s="156">
        <v>3060</v>
      </c>
      <c r="G137" s="161">
        <v>59970</v>
      </c>
      <c r="H137" s="419">
        <v>1799</v>
      </c>
      <c r="I137" s="162"/>
      <c r="J137" s="144">
        <f t="shared" si="8"/>
        <v>58171</v>
      </c>
      <c r="K137" s="140"/>
      <c r="L137" s="141">
        <v>45929</v>
      </c>
      <c r="M137" s="145">
        <v>0</v>
      </c>
      <c r="N137" s="145">
        <v>0</v>
      </c>
      <c r="O137" s="140"/>
      <c r="P137" s="21">
        <v>58171</v>
      </c>
      <c r="Q137" s="21"/>
      <c r="R137" s="21"/>
      <c r="S137" s="146">
        <f t="shared" si="9"/>
        <v>0</v>
      </c>
      <c r="T137" s="21" t="s">
        <v>204</v>
      </c>
      <c r="U137" s="11" t="s">
        <v>204</v>
      </c>
      <c r="V137" s="193"/>
    </row>
    <row r="138" spans="2:22">
      <c r="B138" s="155" t="s">
        <v>481</v>
      </c>
      <c r="C138" s="155" t="s">
        <v>31</v>
      </c>
      <c r="D138" s="155" t="s">
        <v>128</v>
      </c>
      <c r="E138" s="157">
        <v>45913</v>
      </c>
      <c r="F138" s="156">
        <v>3040</v>
      </c>
      <c r="G138" s="161">
        <v>113128</v>
      </c>
      <c r="H138" s="419">
        <v>3128</v>
      </c>
      <c r="I138" s="162"/>
      <c r="J138" s="144">
        <f t="shared" si="8"/>
        <v>110000</v>
      </c>
      <c r="K138" s="140"/>
      <c r="L138" s="141">
        <v>45929</v>
      </c>
      <c r="M138" s="145">
        <v>0</v>
      </c>
      <c r="N138" s="145">
        <v>0</v>
      </c>
      <c r="O138" s="140"/>
      <c r="P138" s="21">
        <v>110000</v>
      </c>
      <c r="Q138" s="21"/>
      <c r="R138" s="21"/>
      <c r="S138" s="146">
        <f t="shared" si="9"/>
        <v>0</v>
      </c>
      <c r="T138" s="21" t="s">
        <v>204</v>
      </c>
      <c r="U138" t="s">
        <v>204</v>
      </c>
      <c r="V138" s="194">
        <v>45918</v>
      </c>
    </row>
    <row r="139" spans="2:22">
      <c r="B139" s="155" t="s">
        <v>90</v>
      </c>
      <c r="C139" s="155" t="s">
        <v>31</v>
      </c>
      <c r="D139" s="155" t="s">
        <v>128</v>
      </c>
      <c r="E139" s="157">
        <v>45913</v>
      </c>
      <c r="F139" s="156">
        <v>3030</v>
      </c>
      <c r="G139" s="161">
        <v>48569</v>
      </c>
      <c r="H139" s="419">
        <v>1458</v>
      </c>
      <c r="I139" s="162"/>
      <c r="J139" s="144">
        <f t="shared" si="8"/>
        <v>47111</v>
      </c>
      <c r="K139" s="140"/>
      <c r="L139" s="141">
        <v>45929</v>
      </c>
      <c r="M139" s="145">
        <v>0</v>
      </c>
      <c r="N139" s="145">
        <v>0</v>
      </c>
      <c r="O139" s="140"/>
      <c r="P139" s="21">
        <v>47111</v>
      </c>
      <c r="Q139" s="21"/>
      <c r="R139" s="21"/>
      <c r="S139" s="146">
        <f t="shared" si="9"/>
        <v>0</v>
      </c>
      <c r="T139" s="21" t="s">
        <v>204</v>
      </c>
      <c r="U139" s="11" t="s">
        <v>204</v>
      </c>
      <c r="V139" s="194">
        <v>45918</v>
      </c>
    </row>
    <row r="140" spans="2:22">
      <c r="B140" s="155" t="s">
        <v>482</v>
      </c>
      <c r="C140" s="155" t="s">
        <v>31</v>
      </c>
      <c r="D140" s="155" t="s">
        <v>128</v>
      </c>
      <c r="E140" s="157">
        <v>45913</v>
      </c>
      <c r="F140" s="156">
        <v>2980</v>
      </c>
      <c r="G140" s="161">
        <v>21906</v>
      </c>
      <c r="H140" s="419">
        <v>686</v>
      </c>
      <c r="I140" s="162"/>
      <c r="J140" s="144">
        <f t="shared" si="8"/>
        <v>21220</v>
      </c>
      <c r="K140" s="140"/>
      <c r="L140" s="141">
        <v>45929</v>
      </c>
      <c r="M140" s="145">
        <v>0</v>
      </c>
      <c r="N140" s="145">
        <v>0</v>
      </c>
      <c r="O140" s="140"/>
      <c r="P140" s="21">
        <v>21220</v>
      </c>
      <c r="Q140" s="21"/>
      <c r="R140" s="21"/>
      <c r="S140" s="146">
        <f t="shared" si="9"/>
        <v>0</v>
      </c>
      <c r="T140" s="21" t="s">
        <v>204</v>
      </c>
      <c r="U140" s="11" t="s">
        <v>204</v>
      </c>
      <c r="V140" s="273">
        <v>45937</v>
      </c>
    </row>
    <row r="141" spans="2:22">
      <c r="B141" s="155" t="s">
        <v>194</v>
      </c>
      <c r="C141" s="155" t="s">
        <v>31</v>
      </c>
      <c r="D141" s="155" t="s">
        <v>128</v>
      </c>
      <c r="E141" s="157">
        <v>45913</v>
      </c>
      <c r="F141" s="156">
        <v>2990</v>
      </c>
      <c r="G141" s="161">
        <v>11860</v>
      </c>
      <c r="H141" s="419">
        <v>380</v>
      </c>
      <c r="I141" s="162"/>
      <c r="J141" s="144">
        <f t="shared" si="8"/>
        <v>11480</v>
      </c>
      <c r="K141" s="140"/>
      <c r="L141" s="141">
        <v>45929</v>
      </c>
      <c r="M141" s="145">
        <v>0</v>
      </c>
      <c r="N141" s="145">
        <v>0</v>
      </c>
      <c r="O141" s="140"/>
      <c r="P141" s="21">
        <v>11480</v>
      </c>
      <c r="Q141" s="21"/>
      <c r="R141" s="21"/>
      <c r="S141" s="146">
        <f t="shared" si="9"/>
        <v>0</v>
      </c>
      <c r="T141" s="21" t="s">
        <v>204</v>
      </c>
      <c r="U141" s="11" t="s">
        <v>204</v>
      </c>
      <c r="V141" s="194">
        <v>45918</v>
      </c>
    </row>
    <row r="142" spans="2:22">
      <c r="B142" s="155" t="s">
        <v>41</v>
      </c>
      <c r="C142" s="155" t="s">
        <v>31</v>
      </c>
      <c r="D142" s="155" t="s">
        <v>128</v>
      </c>
      <c r="E142" s="157">
        <v>45914</v>
      </c>
      <c r="F142" s="240" t="s">
        <v>483</v>
      </c>
      <c r="G142" s="155">
        <v>894880</v>
      </c>
      <c r="H142" s="419">
        <v>26846</v>
      </c>
      <c r="I142" s="162">
        <v>17897</v>
      </c>
      <c r="J142" s="144">
        <f t="shared" si="8"/>
        <v>850137</v>
      </c>
      <c r="K142" s="140"/>
      <c r="L142" s="141">
        <v>45929</v>
      </c>
      <c r="M142" s="145">
        <v>0</v>
      </c>
      <c r="N142" s="145">
        <v>0</v>
      </c>
      <c r="O142" s="140"/>
      <c r="P142" s="21">
        <v>223370</v>
      </c>
      <c r="Q142" s="21">
        <v>276630</v>
      </c>
      <c r="R142" s="21">
        <v>350137</v>
      </c>
      <c r="S142" s="146">
        <f t="shared" si="9"/>
        <v>0</v>
      </c>
      <c r="T142" s="21" t="s">
        <v>204</v>
      </c>
      <c r="U142" s="11" t="s">
        <v>204</v>
      </c>
      <c r="V142" s="194">
        <v>45920</v>
      </c>
    </row>
    <row r="143" spans="2:22">
      <c r="B143" s="155" t="s">
        <v>544</v>
      </c>
      <c r="C143" s="155" t="s">
        <v>31</v>
      </c>
      <c r="D143" s="155" t="s">
        <v>128</v>
      </c>
      <c r="E143" s="157">
        <v>45914</v>
      </c>
      <c r="F143" s="156">
        <v>3100</v>
      </c>
      <c r="G143" s="161">
        <v>14905</v>
      </c>
      <c r="H143" s="419">
        <v>219</v>
      </c>
      <c r="I143" s="162"/>
      <c r="J143" s="144">
        <f t="shared" si="8"/>
        <v>14686</v>
      </c>
      <c r="K143" s="140"/>
      <c r="L143" s="141">
        <v>45929</v>
      </c>
      <c r="M143" s="145">
        <v>0</v>
      </c>
      <c r="N143" s="145">
        <v>0</v>
      </c>
      <c r="O143" s="140"/>
      <c r="P143" s="21">
        <v>14686</v>
      </c>
      <c r="Q143" s="21"/>
      <c r="R143" s="21"/>
      <c r="S143" s="146">
        <f t="shared" si="9"/>
        <v>0</v>
      </c>
      <c r="T143" s="21" t="s">
        <v>204</v>
      </c>
      <c r="U143" s="11" t="s">
        <v>204</v>
      </c>
      <c r="V143" s="194">
        <v>45924</v>
      </c>
    </row>
    <row r="144" spans="2:22">
      <c r="B144" s="163" t="s">
        <v>484</v>
      </c>
      <c r="C144" s="155" t="s">
        <v>31</v>
      </c>
      <c r="D144" s="155" t="s">
        <v>128</v>
      </c>
      <c r="E144" s="157">
        <v>45914</v>
      </c>
      <c r="F144" s="156">
        <v>3070</v>
      </c>
      <c r="G144" s="161">
        <v>65016</v>
      </c>
      <c r="H144" s="419">
        <v>1950</v>
      </c>
      <c r="I144" s="162"/>
      <c r="J144" s="144">
        <f t="shared" ref="J144:J157" si="10">+G144-H144-I144</f>
        <v>63066</v>
      </c>
      <c r="K144" s="140"/>
      <c r="L144" s="141">
        <v>45929</v>
      </c>
      <c r="M144" s="145">
        <v>0</v>
      </c>
      <c r="N144" s="145">
        <v>0</v>
      </c>
      <c r="O144" s="140"/>
      <c r="P144" s="21">
        <v>63066</v>
      </c>
      <c r="Q144" s="21"/>
      <c r="R144" s="21"/>
      <c r="S144" s="146">
        <f t="shared" ref="S144:S145" si="11">+J144-SUM(P144:R144)</f>
        <v>0</v>
      </c>
      <c r="T144" s="21" t="s">
        <v>204</v>
      </c>
      <c r="U144" s="11" t="s">
        <v>204</v>
      </c>
      <c r="V144" s="273">
        <v>45938</v>
      </c>
    </row>
    <row r="145" spans="2:22">
      <c r="B145" s="155" t="s">
        <v>457</v>
      </c>
      <c r="C145" s="155" t="s">
        <v>56</v>
      </c>
      <c r="D145" s="155" t="s">
        <v>128</v>
      </c>
      <c r="E145" s="157">
        <v>45914</v>
      </c>
      <c r="F145" s="156">
        <v>2640</v>
      </c>
      <c r="G145" s="161">
        <v>5957</v>
      </c>
      <c r="H145" s="419"/>
      <c r="I145" s="162"/>
      <c r="J145" s="144">
        <f t="shared" si="10"/>
        <v>5957</v>
      </c>
      <c r="K145" s="140"/>
      <c r="L145" s="141">
        <v>45916</v>
      </c>
      <c r="M145" s="145">
        <v>0</v>
      </c>
      <c r="N145" s="145">
        <v>0</v>
      </c>
      <c r="O145" s="140"/>
      <c r="P145" s="21">
        <v>5957</v>
      </c>
      <c r="Q145" s="21"/>
      <c r="R145" s="21"/>
      <c r="S145" s="146">
        <f t="shared" si="11"/>
        <v>0</v>
      </c>
      <c r="T145" s="21" t="s">
        <v>204</v>
      </c>
      <c r="U145" s="11" t="s">
        <v>204</v>
      </c>
      <c r="V145" s="194">
        <v>45915</v>
      </c>
    </row>
    <row r="146" spans="2:22">
      <c r="B146" s="163" t="s">
        <v>488</v>
      </c>
      <c r="C146" s="155" t="s">
        <v>63</v>
      </c>
      <c r="D146" s="155" t="s">
        <v>64</v>
      </c>
      <c r="E146" s="157">
        <v>45915</v>
      </c>
      <c r="F146" s="156">
        <v>24190</v>
      </c>
      <c r="G146" s="174">
        <v>5788</v>
      </c>
      <c r="H146" s="419"/>
      <c r="I146" s="162"/>
      <c r="J146" s="144">
        <f t="shared" si="10"/>
        <v>5788</v>
      </c>
      <c r="K146" s="140"/>
      <c r="L146" s="141">
        <v>45922</v>
      </c>
      <c r="M146" s="145">
        <v>0</v>
      </c>
      <c r="N146" s="145">
        <v>0</v>
      </c>
      <c r="O146" s="140"/>
      <c r="P146" s="21">
        <v>5788</v>
      </c>
      <c r="Q146" s="21"/>
      <c r="R146" s="21"/>
      <c r="S146" s="146">
        <f t="shared" ref="S146:S157" si="12">+J146-SUM(P146:R146)</f>
        <v>0</v>
      </c>
      <c r="T146" s="21" t="s">
        <v>204</v>
      </c>
      <c r="U146" s="11" t="s">
        <v>204</v>
      </c>
      <c r="V146" s="194">
        <v>45922</v>
      </c>
    </row>
    <row r="147" spans="2:22">
      <c r="B147" s="163" t="s">
        <v>496</v>
      </c>
      <c r="C147" s="155" t="s">
        <v>31</v>
      </c>
      <c r="D147" s="155" t="s">
        <v>390</v>
      </c>
      <c r="E147" s="157">
        <v>45915</v>
      </c>
      <c r="F147" s="156">
        <v>3170</v>
      </c>
      <c r="G147" s="155">
        <v>20789</v>
      </c>
      <c r="H147" s="419"/>
      <c r="I147" s="162"/>
      <c r="J147" s="144">
        <f t="shared" si="10"/>
        <v>20789</v>
      </c>
      <c r="K147" s="140"/>
      <c r="L147" s="141">
        <v>45929</v>
      </c>
      <c r="M147" s="145">
        <v>0</v>
      </c>
      <c r="N147" s="145">
        <v>0</v>
      </c>
      <c r="O147" s="140"/>
      <c r="P147" s="21">
        <v>20789</v>
      </c>
      <c r="Q147" s="21"/>
      <c r="R147" s="21"/>
      <c r="S147" s="146">
        <f t="shared" si="12"/>
        <v>0</v>
      </c>
      <c r="T147" s="21" t="s">
        <v>204</v>
      </c>
      <c r="U147" s="11" t="s">
        <v>204</v>
      </c>
      <c r="V147" s="193"/>
    </row>
    <row r="148" spans="2:22">
      <c r="B148" s="163" t="s">
        <v>497</v>
      </c>
      <c r="C148" s="155" t="s">
        <v>31</v>
      </c>
      <c r="D148" s="155" t="s">
        <v>390</v>
      </c>
      <c r="E148" s="157">
        <v>45915</v>
      </c>
      <c r="F148" s="156">
        <v>3180</v>
      </c>
      <c r="G148" s="155">
        <v>40026</v>
      </c>
      <c r="H148" s="419"/>
      <c r="I148" s="162"/>
      <c r="J148" s="144">
        <f t="shared" si="10"/>
        <v>40026</v>
      </c>
      <c r="K148" s="140"/>
      <c r="L148" s="141">
        <v>45929</v>
      </c>
      <c r="M148" s="145">
        <v>0</v>
      </c>
      <c r="N148" s="145">
        <v>0</v>
      </c>
      <c r="O148" s="140"/>
      <c r="P148" s="21">
        <v>40026</v>
      </c>
      <c r="Q148" s="21"/>
      <c r="R148" s="21"/>
      <c r="S148" s="146">
        <f t="shared" si="12"/>
        <v>0</v>
      </c>
      <c r="T148" s="21" t="s">
        <v>204</v>
      </c>
      <c r="U148" s="11" t="s">
        <v>204</v>
      </c>
      <c r="V148" s="194">
        <v>45929</v>
      </c>
    </row>
    <row r="149" spans="2:22">
      <c r="B149" s="155" t="s">
        <v>190</v>
      </c>
      <c r="C149" s="155" t="s">
        <v>31</v>
      </c>
      <c r="D149" s="155" t="s">
        <v>128</v>
      </c>
      <c r="E149" s="157">
        <v>45916</v>
      </c>
      <c r="F149" s="156">
        <v>2970</v>
      </c>
      <c r="G149" s="155">
        <v>494661</v>
      </c>
      <c r="H149" s="419">
        <v>27216</v>
      </c>
      <c r="I149" s="162">
        <v>9893</v>
      </c>
      <c r="J149" s="144">
        <f t="shared" si="10"/>
        <v>457552</v>
      </c>
      <c r="K149" s="140"/>
      <c r="L149" s="141">
        <v>45930</v>
      </c>
      <c r="M149" s="145">
        <v>0</v>
      </c>
      <c r="N149" s="145">
        <v>0</v>
      </c>
      <c r="O149" s="140"/>
      <c r="P149" s="21">
        <v>96916</v>
      </c>
      <c r="Q149" s="21">
        <v>360636</v>
      </c>
      <c r="R149" s="21"/>
      <c r="S149" s="146">
        <f t="shared" si="12"/>
        <v>0</v>
      </c>
      <c r="T149" s="21" t="s">
        <v>204</v>
      </c>
      <c r="U149" s="11" t="s">
        <v>204</v>
      </c>
      <c r="V149" s="273">
        <v>45937</v>
      </c>
    </row>
    <row r="150" spans="2:22">
      <c r="B150" s="155" t="s">
        <v>108</v>
      </c>
      <c r="C150" s="155" t="s">
        <v>31</v>
      </c>
      <c r="D150" s="155" t="s">
        <v>128</v>
      </c>
      <c r="E150" s="157">
        <v>45918</v>
      </c>
      <c r="F150" s="156">
        <v>3290</v>
      </c>
      <c r="G150" s="155">
        <v>231068</v>
      </c>
      <c r="H150" s="419">
        <v>6932</v>
      </c>
      <c r="I150" s="162">
        <v>4621</v>
      </c>
      <c r="J150" s="144">
        <f t="shared" si="10"/>
        <v>219515</v>
      </c>
      <c r="K150" s="140"/>
      <c r="L150" s="187">
        <v>45925</v>
      </c>
      <c r="M150" s="145">
        <v>0</v>
      </c>
      <c r="N150" s="145">
        <v>0</v>
      </c>
      <c r="O150" s="140"/>
      <c r="P150" s="21">
        <v>100000</v>
      </c>
      <c r="Q150" s="21">
        <v>30000</v>
      </c>
      <c r="R150" s="21">
        <v>89515</v>
      </c>
      <c r="S150" s="146">
        <f t="shared" si="12"/>
        <v>0</v>
      </c>
      <c r="T150" s="21" t="s">
        <v>204</v>
      </c>
      <c r="U150" s="11" t="s">
        <v>204</v>
      </c>
      <c r="V150" s="273">
        <v>45941</v>
      </c>
    </row>
    <row r="151" spans="2:22">
      <c r="B151" s="155" t="s">
        <v>214</v>
      </c>
      <c r="C151" s="155" t="s">
        <v>31</v>
      </c>
      <c r="D151" s="155" t="s">
        <v>128</v>
      </c>
      <c r="E151" s="157">
        <v>45918</v>
      </c>
      <c r="F151" s="156">
        <v>3220</v>
      </c>
      <c r="G151" s="155">
        <v>64822</v>
      </c>
      <c r="H151" s="419">
        <f>1945+2497</f>
        <v>4442</v>
      </c>
      <c r="I151" s="162"/>
      <c r="J151" s="144">
        <f t="shared" si="10"/>
        <v>60380</v>
      </c>
      <c r="K151" s="140"/>
      <c r="L151" s="141">
        <v>45930</v>
      </c>
      <c r="M151" s="145">
        <v>0</v>
      </c>
      <c r="N151" s="145">
        <v>0</v>
      </c>
      <c r="O151" s="140"/>
      <c r="P151" s="21">
        <v>45380</v>
      </c>
      <c r="Q151" s="21">
        <v>15000</v>
      </c>
      <c r="R151" s="344"/>
      <c r="S151" s="146">
        <f t="shared" si="12"/>
        <v>0</v>
      </c>
      <c r="T151" s="21" t="s">
        <v>1216</v>
      </c>
      <c r="U151" s="11" t="s">
        <v>204</v>
      </c>
      <c r="V151" s="273">
        <v>45968</v>
      </c>
    </row>
    <row r="152" spans="2:22">
      <c r="B152" s="155" t="s">
        <v>515</v>
      </c>
      <c r="C152" s="155" t="s">
        <v>31</v>
      </c>
      <c r="D152" s="155" t="s">
        <v>128</v>
      </c>
      <c r="E152" s="157">
        <v>45919</v>
      </c>
      <c r="F152" s="156">
        <v>3310</v>
      </c>
      <c r="G152" s="161">
        <v>12821</v>
      </c>
      <c r="H152" s="419"/>
      <c r="I152" s="162"/>
      <c r="J152" s="144">
        <f t="shared" si="10"/>
        <v>12821</v>
      </c>
      <c r="K152" s="140"/>
      <c r="L152" s="141">
        <v>45934</v>
      </c>
      <c r="M152" s="145">
        <v>0</v>
      </c>
      <c r="N152" s="145">
        <v>0</v>
      </c>
      <c r="O152" s="140"/>
      <c r="P152" s="21">
        <v>12821</v>
      </c>
      <c r="Q152" s="21"/>
      <c r="R152" s="21"/>
      <c r="S152" s="146">
        <f t="shared" si="12"/>
        <v>0</v>
      </c>
      <c r="T152" s="21" t="s">
        <v>204</v>
      </c>
      <c r="U152" s="11" t="s">
        <v>204</v>
      </c>
      <c r="V152" s="194">
        <v>45926</v>
      </c>
    </row>
    <row r="153" spans="2:22">
      <c r="B153" s="155" t="s">
        <v>516</v>
      </c>
      <c r="C153" s="155" t="s">
        <v>31</v>
      </c>
      <c r="D153" s="155" t="s">
        <v>128</v>
      </c>
      <c r="E153" s="157">
        <v>45919</v>
      </c>
      <c r="F153" s="156">
        <v>3240</v>
      </c>
      <c r="G153" s="161">
        <v>40072</v>
      </c>
      <c r="H153" s="419">
        <v>801</v>
      </c>
      <c r="I153" s="162"/>
      <c r="J153" s="144">
        <f t="shared" si="10"/>
        <v>39271</v>
      </c>
      <c r="K153" s="140"/>
      <c r="L153" s="141">
        <v>45934</v>
      </c>
      <c r="M153" s="145">
        <v>0</v>
      </c>
      <c r="N153" s="145">
        <v>0</v>
      </c>
      <c r="O153" s="140"/>
      <c r="P153" s="21">
        <v>19270</v>
      </c>
      <c r="Q153" s="21">
        <v>20001</v>
      </c>
      <c r="R153" s="21"/>
      <c r="S153" s="146">
        <f t="shared" si="12"/>
        <v>0</v>
      </c>
      <c r="T153" s="21" t="s">
        <v>204</v>
      </c>
      <c r="U153" s="11" t="s">
        <v>204</v>
      </c>
      <c r="V153" s="273">
        <v>45939</v>
      </c>
    </row>
    <row r="154" spans="2:22">
      <c r="B154" s="155" t="s">
        <v>195</v>
      </c>
      <c r="C154" s="155" t="s">
        <v>31</v>
      </c>
      <c r="D154" s="155" t="s">
        <v>128</v>
      </c>
      <c r="E154" s="157">
        <v>45919</v>
      </c>
      <c r="F154" s="156">
        <v>3360</v>
      </c>
      <c r="G154" s="161">
        <v>87757</v>
      </c>
      <c r="H154" s="419">
        <v>2633</v>
      </c>
      <c r="I154" s="162"/>
      <c r="J154" s="144">
        <f t="shared" si="10"/>
        <v>85124</v>
      </c>
      <c r="K154" s="140"/>
      <c r="L154" s="141">
        <v>45934</v>
      </c>
      <c r="M154" s="145">
        <v>0</v>
      </c>
      <c r="N154" s="145">
        <v>0</v>
      </c>
      <c r="O154" s="140"/>
      <c r="P154" s="21">
        <v>85124</v>
      </c>
      <c r="Q154" s="21"/>
      <c r="R154" s="21"/>
      <c r="S154" s="146">
        <f t="shared" si="12"/>
        <v>0</v>
      </c>
      <c r="T154" s="21" t="s">
        <v>342</v>
      </c>
      <c r="U154" s="11" t="s">
        <v>204</v>
      </c>
      <c r="V154" s="194">
        <v>45924</v>
      </c>
    </row>
    <row r="155" spans="2:22">
      <c r="B155" s="155" t="s">
        <v>90</v>
      </c>
      <c r="C155" s="155" t="s">
        <v>31</v>
      </c>
      <c r="D155" s="155" t="s">
        <v>128</v>
      </c>
      <c r="E155" s="157">
        <v>45919</v>
      </c>
      <c r="F155" s="156">
        <v>3300</v>
      </c>
      <c r="G155" s="161">
        <v>36020</v>
      </c>
      <c r="H155" s="171">
        <v>1520</v>
      </c>
      <c r="I155" s="162"/>
      <c r="J155" s="144">
        <f t="shared" si="10"/>
        <v>34500</v>
      </c>
      <c r="K155" s="140"/>
      <c r="L155" s="141">
        <v>45934</v>
      </c>
      <c r="M155" s="145">
        <v>0</v>
      </c>
      <c r="N155" s="145">
        <v>0</v>
      </c>
      <c r="O155" s="140"/>
      <c r="P155" s="21">
        <v>34500</v>
      </c>
      <c r="Q155" s="21"/>
      <c r="R155" s="21"/>
      <c r="S155" s="146">
        <f t="shared" si="12"/>
        <v>0</v>
      </c>
      <c r="T155" s="21" t="s">
        <v>204</v>
      </c>
      <c r="U155" s="11" t="s">
        <v>204</v>
      </c>
      <c r="V155" s="194">
        <v>45925</v>
      </c>
    </row>
    <row r="156" spans="2:22">
      <c r="B156" s="155" t="s">
        <v>223</v>
      </c>
      <c r="C156" s="155" t="s">
        <v>31</v>
      </c>
      <c r="D156" s="155" t="s">
        <v>128</v>
      </c>
      <c r="E156" s="157">
        <v>45919</v>
      </c>
      <c r="F156" s="156">
        <v>3350</v>
      </c>
      <c r="G156" s="161">
        <v>99319</v>
      </c>
      <c r="H156" s="419">
        <v>2979</v>
      </c>
      <c r="I156" s="162"/>
      <c r="J156" s="144">
        <f t="shared" si="10"/>
        <v>96340</v>
      </c>
      <c r="K156" s="140"/>
      <c r="L156" s="141">
        <v>45934</v>
      </c>
      <c r="M156" s="145">
        <v>0</v>
      </c>
      <c r="N156" s="145">
        <v>0</v>
      </c>
      <c r="O156" s="140"/>
      <c r="P156" s="21">
        <v>96340</v>
      </c>
      <c r="Q156" s="21"/>
      <c r="R156" s="21"/>
      <c r="S156" s="146">
        <f t="shared" si="12"/>
        <v>0</v>
      </c>
      <c r="T156" s="21" t="s">
        <v>204</v>
      </c>
      <c r="U156" s="11" t="s">
        <v>204</v>
      </c>
      <c r="V156" s="193"/>
    </row>
    <row r="157" spans="2:22">
      <c r="B157" s="155" t="s">
        <v>194</v>
      </c>
      <c r="C157" s="155" t="s">
        <v>31</v>
      </c>
      <c r="D157" s="155" t="s">
        <v>128</v>
      </c>
      <c r="E157" s="157">
        <v>45919</v>
      </c>
      <c r="F157" s="156">
        <v>3340</v>
      </c>
      <c r="G157" s="171">
        <v>27286</v>
      </c>
      <c r="H157" s="419">
        <v>818</v>
      </c>
      <c r="I157" s="162"/>
      <c r="J157" s="144">
        <f t="shared" si="10"/>
        <v>26468</v>
      </c>
      <c r="K157" s="140"/>
      <c r="L157" s="141">
        <v>45934</v>
      </c>
      <c r="M157" s="145">
        <v>0</v>
      </c>
      <c r="N157" s="145">
        <v>0</v>
      </c>
      <c r="O157" s="140"/>
      <c r="P157" s="21">
        <v>26468</v>
      </c>
      <c r="Q157" s="21"/>
      <c r="R157" s="21"/>
      <c r="S157" s="146">
        <f t="shared" si="12"/>
        <v>0</v>
      </c>
      <c r="T157" s="21" t="s">
        <v>204</v>
      </c>
      <c r="U157" s="11" t="s">
        <v>204</v>
      </c>
      <c r="V157" s="194">
        <v>45924</v>
      </c>
    </row>
    <row r="158" spans="2:22">
      <c r="B158" s="155" t="s">
        <v>41</v>
      </c>
      <c r="C158" s="155" t="s">
        <v>31</v>
      </c>
      <c r="D158" s="155" t="s">
        <v>128</v>
      </c>
      <c r="E158" s="157">
        <v>45920</v>
      </c>
      <c r="F158" s="156">
        <v>3450</v>
      </c>
      <c r="G158" s="189">
        <v>708578</v>
      </c>
      <c r="H158" s="419">
        <v>21257</v>
      </c>
      <c r="I158" s="162">
        <v>14171</v>
      </c>
      <c r="J158" s="144">
        <f t="shared" ref="J158:J171" si="13">+G158-H158-I158</f>
        <v>673150</v>
      </c>
      <c r="K158" s="140"/>
      <c r="L158" s="141">
        <v>45934</v>
      </c>
      <c r="M158" s="145">
        <v>0</v>
      </c>
      <c r="N158" s="145">
        <v>0</v>
      </c>
      <c r="O158" s="140"/>
      <c r="P158" s="21">
        <v>245400</v>
      </c>
      <c r="Q158" s="21">
        <v>4600</v>
      </c>
      <c r="R158" s="21">
        <v>423150</v>
      </c>
      <c r="S158" s="146">
        <f t="shared" ref="S158:S171" si="14">+J158-SUM(P158:R158)</f>
        <v>0</v>
      </c>
      <c r="T158" s="21" t="s">
        <v>204</v>
      </c>
      <c r="U158" s="11" t="s">
        <v>204</v>
      </c>
      <c r="V158" s="194">
        <v>45927</v>
      </c>
    </row>
    <row r="159" spans="2:22">
      <c r="B159" s="155" t="s">
        <v>312</v>
      </c>
      <c r="C159" s="155" t="s">
        <v>31</v>
      </c>
      <c r="D159" s="155" t="s">
        <v>128</v>
      </c>
      <c r="E159" s="157">
        <v>45920</v>
      </c>
      <c r="F159" s="156">
        <v>3400</v>
      </c>
      <c r="G159" s="229">
        <v>97737</v>
      </c>
      <c r="H159" s="419"/>
      <c r="I159" s="162"/>
      <c r="J159" s="144">
        <f t="shared" si="13"/>
        <v>97737</v>
      </c>
      <c r="K159" s="140"/>
      <c r="L159" s="141">
        <v>45934</v>
      </c>
      <c r="M159" s="145">
        <v>0</v>
      </c>
      <c r="N159" s="145">
        <v>0</v>
      </c>
      <c r="O159" s="140"/>
      <c r="P159" s="21">
        <v>97737</v>
      </c>
      <c r="Q159" s="21"/>
      <c r="R159" s="21"/>
      <c r="S159" s="146">
        <f t="shared" si="14"/>
        <v>0</v>
      </c>
      <c r="T159" s="21" t="s">
        <v>204</v>
      </c>
      <c r="U159" s="11" t="s">
        <v>204</v>
      </c>
      <c r="V159" s="193"/>
    </row>
    <row r="160" spans="2:22">
      <c r="B160" s="155" t="s">
        <v>518</v>
      </c>
      <c r="C160" s="155" t="s">
        <v>31</v>
      </c>
      <c r="D160" s="155" t="s">
        <v>128</v>
      </c>
      <c r="E160" s="157">
        <v>45920</v>
      </c>
      <c r="F160" s="156">
        <v>3390</v>
      </c>
      <c r="G160" s="229">
        <v>80313</v>
      </c>
      <c r="H160" s="419">
        <v>2409</v>
      </c>
      <c r="I160" s="162"/>
      <c r="J160" s="144">
        <f t="shared" si="13"/>
        <v>77904</v>
      </c>
      <c r="K160" s="140"/>
      <c r="L160" s="141">
        <v>45934</v>
      </c>
      <c r="M160" s="145">
        <v>0</v>
      </c>
      <c r="N160" s="145">
        <v>0</v>
      </c>
      <c r="O160" s="140"/>
      <c r="P160" s="21">
        <v>17904</v>
      </c>
      <c r="Q160" s="50">
        <v>40000</v>
      </c>
      <c r="R160" s="21">
        <v>20000</v>
      </c>
      <c r="S160" s="146">
        <f t="shared" si="14"/>
        <v>0</v>
      </c>
      <c r="T160" s="21" t="s">
        <v>204</v>
      </c>
      <c r="U160" s="11" t="s">
        <v>204</v>
      </c>
      <c r="V160" s="273">
        <v>45936</v>
      </c>
    </row>
    <row r="161" spans="2:22">
      <c r="B161" s="155" t="s">
        <v>519</v>
      </c>
      <c r="C161" s="155" t="s">
        <v>31</v>
      </c>
      <c r="D161" s="155" t="s">
        <v>128</v>
      </c>
      <c r="E161" s="157">
        <v>45920</v>
      </c>
      <c r="F161" s="156">
        <v>3430</v>
      </c>
      <c r="G161" s="229">
        <v>182581</v>
      </c>
      <c r="H161" s="419">
        <v>5481</v>
      </c>
      <c r="I161" s="162"/>
      <c r="J161" s="144">
        <f t="shared" si="13"/>
        <v>177100</v>
      </c>
      <c r="K161" s="140"/>
      <c r="L161" s="141">
        <v>45934</v>
      </c>
      <c r="M161" s="145">
        <v>0</v>
      </c>
      <c r="N161" s="145">
        <v>0</v>
      </c>
      <c r="O161" s="140"/>
      <c r="P161" s="21">
        <v>177100</v>
      </c>
      <c r="Q161" s="21"/>
      <c r="R161" s="21"/>
      <c r="S161" s="146">
        <f t="shared" si="14"/>
        <v>0</v>
      </c>
      <c r="T161" s="21" t="s">
        <v>204</v>
      </c>
      <c r="U161" s="11" t="s">
        <v>204</v>
      </c>
      <c r="V161" s="197"/>
    </row>
    <row r="162" spans="2:22">
      <c r="B162" s="155" t="s">
        <v>194</v>
      </c>
      <c r="C162" s="155" t="s">
        <v>31</v>
      </c>
      <c r="D162" s="155" t="s">
        <v>128</v>
      </c>
      <c r="E162" s="157">
        <v>45920</v>
      </c>
      <c r="F162" s="156">
        <v>3410</v>
      </c>
      <c r="G162" s="229">
        <v>10792</v>
      </c>
      <c r="H162" s="419"/>
      <c r="I162" s="162"/>
      <c r="J162" s="144">
        <f t="shared" si="13"/>
        <v>10792</v>
      </c>
      <c r="K162" s="140"/>
      <c r="L162" s="141">
        <v>45934</v>
      </c>
      <c r="M162" s="145">
        <v>0</v>
      </c>
      <c r="N162" s="145">
        <v>0</v>
      </c>
      <c r="O162" s="140"/>
      <c r="P162" s="21">
        <v>10792</v>
      </c>
      <c r="Q162" s="21"/>
      <c r="R162" s="21"/>
      <c r="S162" s="146">
        <f t="shared" si="14"/>
        <v>0</v>
      </c>
      <c r="T162" s="21" t="s">
        <v>204</v>
      </c>
      <c r="U162" s="11" t="s">
        <v>204</v>
      </c>
      <c r="V162" s="194">
        <v>45924</v>
      </c>
    </row>
    <row r="163" spans="2:22">
      <c r="B163" s="155" t="s">
        <v>532</v>
      </c>
      <c r="C163" s="155" t="s">
        <v>63</v>
      </c>
      <c r="D163" s="155" t="s">
        <v>64</v>
      </c>
      <c r="E163" s="157">
        <v>45922</v>
      </c>
      <c r="F163" s="156">
        <v>6140</v>
      </c>
      <c r="G163" s="189">
        <v>12549</v>
      </c>
      <c r="H163" s="419"/>
      <c r="I163" s="162"/>
      <c r="J163" s="144">
        <f t="shared" si="13"/>
        <v>12549</v>
      </c>
      <c r="K163" s="140"/>
      <c r="L163" s="141">
        <v>45926</v>
      </c>
      <c r="M163" s="145">
        <v>0</v>
      </c>
      <c r="N163" s="145">
        <v>0</v>
      </c>
      <c r="O163" s="140"/>
      <c r="P163" s="21">
        <v>12549</v>
      </c>
      <c r="Q163" s="21"/>
      <c r="R163" s="21"/>
      <c r="S163" s="146">
        <f t="shared" si="14"/>
        <v>0</v>
      </c>
      <c r="T163" s="21" t="s">
        <v>342</v>
      </c>
      <c r="U163" s="11" t="s">
        <v>204</v>
      </c>
      <c r="V163" s="194">
        <v>45924</v>
      </c>
    </row>
    <row r="164" spans="2:22">
      <c r="B164" s="155" t="s">
        <v>533</v>
      </c>
      <c r="C164" s="155" t="s">
        <v>63</v>
      </c>
      <c r="D164" s="155" t="s">
        <v>64</v>
      </c>
      <c r="E164" s="157">
        <v>45922</v>
      </c>
      <c r="F164" s="156">
        <v>6290</v>
      </c>
      <c r="G164" s="189">
        <v>11198</v>
      </c>
      <c r="H164" s="419"/>
      <c r="I164" s="162"/>
      <c r="J164" s="144">
        <f t="shared" si="13"/>
        <v>11198</v>
      </c>
      <c r="K164" s="140"/>
      <c r="L164" s="141">
        <v>45926</v>
      </c>
      <c r="M164" s="145">
        <v>0</v>
      </c>
      <c r="N164" s="145">
        <v>0</v>
      </c>
      <c r="O164" s="140"/>
      <c r="P164" s="21">
        <v>11198</v>
      </c>
      <c r="Q164" s="21"/>
      <c r="R164" s="21"/>
      <c r="S164" s="146">
        <f t="shared" si="14"/>
        <v>0</v>
      </c>
      <c r="T164" s="21" t="s">
        <v>204</v>
      </c>
      <c r="U164" s="11"/>
      <c r="V164" s="197"/>
    </row>
    <row r="165" spans="2:22">
      <c r="B165" s="155" t="s">
        <v>43</v>
      </c>
      <c r="C165" s="155" t="s">
        <v>31</v>
      </c>
      <c r="D165" s="155" t="s">
        <v>128</v>
      </c>
      <c r="E165" s="157">
        <v>45922</v>
      </c>
      <c r="F165" s="156">
        <v>3440</v>
      </c>
      <c r="G165" s="229">
        <v>266561</v>
      </c>
      <c r="H165" s="419">
        <v>7997</v>
      </c>
      <c r="I165" s="162">
        <v>5331</v>
      </c>
      <c r="J165" s="144">
        <f t="shared" si="13"/>
        <v>253233</v>
      </c>
      <c r="K165" s="140"/>
      <c r="L165" s="141">
        <v>45937</v>
      </c>
      <c r="M165" s="145">
        <v>0</v>
      </c>
      <c r="N165" s="145">
        <v>0</v>
      </c>
      <c r="O165" s="140"/>
      <c r="P165" s="21">
        <v>125000</v>
      </c>
      <c r="Q165" s="21">
        <v>128233</v>
      </c>
      <c r="R165" s="21"/>
      <c r="S165" s="146">
        <f t="shared" si="14"/>
        <v>0</v>
      </c>
      <c r="T165" s="21" t="s">
        <v>204</v>
      </c>
      <c r="U165" s="11" t="s">
        <v>204</v>
      </c>
      <c r="V165" s="273">
        <v>45943</v>
      </c>
    </row>
    <row r="166" spans="2:22">
      <c r="B166" s="155" t="s">
        <v>537</v>
      </c>
      <c r="C166" s="155" t="s">
        <v>31</v>
      </c>
      <c r="D166" s="155" t="s">
        <v>128</v>
      </c>
      <c r="E166" s="157">
        <v>45922</v>
      </c>
      <c r="F166" s="156">
        <v>3500</v>
      </c>
      <c r="G166" s="229">
        <v>60469</v>
      </c>
      <c r="H166" s="419">
        <v>1814</v>
      </c>
      <c r="I166" s="162"/>
      <c r="J166" s="144">
        <f t="shared" si="13"/>
        <v>58655</v>
      </c>
      <c r="K166" s="140"/>
      <c r="L166" s="141">
        <v>45937</v>
      </c>
      <c r="M166" s="145">
        <v>0</v>
      </c>
      <c r="N166" s="145">
        <v>0</v>
      </c>
      <c r="O166" s="140"/>
      <c r="P166" s="50">
        <v>30000</v>
      </c>
      <c r="Q166" s="21">
        <v>28655</v>
      </c>
      <c r="R166" s="21"/>
      <c r="S166" s="146">
        <f t="shared" si="14"/>
        <v>0</v>
      </c>
      <c r="T166" s="21" t="s">
        <v>204</v>
      </c>
      <c r="U166" s="11" t="s">
        <v>204</v>
      </c>
      <c r="V166" s="273">
        <v>45953</v>
      </c>
    </row>
    <row r="167" spans="2:22">
      <c r="B167" s="181" t="s">
        <v>538</v>
      </c>
      <c r="C167" s="155" t="s">
        <v>31</v>
      </c>
      <c r="D167" s="155" t="s">
        <v>128</v>
      </c>
      <c r="E167" s="157">
        <v>45922</v>
      </c>
      <c r="F167" s="156">
        <v>3490</v>
      </c>
      <c r="G167" s="229">
        <v>30003</v>
      </c>
      <c r="H167" s="419"/>
      <c r="I167" s="162"/>
      <c r="J167" s="144">
        <f t="shared" si="13"/>
        <v>30003</v>
      </c>
      <c r="K167" s="140"/>
      <c r="L167" s="141">
        <v>45937</v>
      </c>
      <c r="M167" s="145">
        <v>0</v>
      </c>
      <c r="N167" s="145">
        <v>0</v>
      </c>
      <c r="O167" s="140"/>
      <c r="P167" s="50">
        <v>30003</v>
      </c>
      <c r="Q167" s="21"/>
      <c r="R167" s="21"/>
      <c r="S167" s="146">
        <f t="shared" si="14"/>
        <v>0</v>
      </c>
      <c r="T167" s="21" t="s">
        <v>204</v>
      </c>
      <c r="U167" s="11"/>
      <c r="V167" s="197"/>
    </row>
    <row r="168" spans="2:22">
      <c r="B168" s="155" t="s">
        <v>292</v>
      </c>
      <c r="C168" s="155" t="s">
        <v>31</v>
      </c>
      <c r="D168" s="155" t="s">
        <v>128</v>
      </c>
      <c r="E168" s="157">
        <v>45922</v>
      </c>
      <c r="F168" s="156">
        <v>3480</v>
      </c>
      <c r="G168" s="229">
        <v>73809</v>
      </c>
      <c r="H168" s="419">
        <v>2214</v>
      </c>
      <c r="I168" s="162"/>
      <c r="J168" s="144">
        <f t="shared" si="13"/>
        <v>71595</v>
      </c>
      <c r="K168" s="140"/>
      <c r="L168" s="141">
        <v>45937</v>
      </c>
      <c r="M168" s="145">
        <v>0</v>
      </c>
      <c r="N168" s="145">
        <v>0</v>
      </c>
      <c r="O168" s="140"/>
      <c r="P168" s="50">
        <v>20000</v>
      </c>
      <c r="Q168" s="21">
        <v>47000</v>
      </c>
      <c r="R168" s="21">
        <v>4595</v>
      </c>
      <c r="S168" s="146">
        <f t="shared" si="14"/>
        <v>0</v>
      </c>
      <c r="T168" s="21" t="s">
        <v>204</v>
      </c>
      <c r="U168" s="11" t="s">
        <v>204</v>
      </c>
      <c r="V168" s="273">
        <v>45961</v>
      </c>
    </row>
    <row r="169" spans="2:22">
      <c r="B169" s="155" t="s">
        <v>149</v>
      </c>
      <c r="C169" s="181" t="s">
        <v>31</v>
      </c>
      <c r="D169" s="181" t="s">
        <v>128</v>
      </c>
      <c r="E169" s="204">
        <v>45922</v>
      </c>
      <c r="F169" s="203">
        <v>3510</v>
      </c>
      <c r="G169" s="235">
        <v>50902</v>
      </c>
      <c r="H169" s="421"/>
      <c r="I169" s="236"/>
      <c r="J169" s="220">
        <f t="shared" si="13"/>
        <v>50902</v>
      </c>
      <c r="K169" s="140"/>
      <c r="L169" s="221">
        <v>45937</v>
      </c>
      <c r="M169" s="145">
        <v>0</v>
      </c>
      <c r="N169" s="145">
        <v>0</v>
      </c>
      <c r="O169" s="140"/>
      <c r="P169" s="222">
        <v>50902</v>
      </c>
      <c r="Q169" s="222"/>
      <c r="R169" s="222"/>
      <c r="S169" s="223">
        <f t="shared" si="14"/>
        <v>0</v>
      </c>
      <c r="T169" s="222" t="s">
        <v>204</v>
      </c>
      <c r="U169" s="180"/>
      <c r="V169" s="224"/>
    </row>
    <row r="170" spans="2:22">
      <c r="B170" s="155" t="s">
        <v>554</v>
      </c>
      <c r="C170" s="155" t="s">
        <v>56</v>
      </c>
      <c r="D170" s="155" t="s">
        <v>31</v>
      </c>
      <c r="E170" s="204">
        <v>45925</v>
      </c>
      <c r="F170" s="156">
        <v>7260</v>
      </c>
      <c r="G170" s="158">
        <v>6156</v>
      </c>
      <c r="H170" s="419"/>
      <c r="I170" s="162"/>
      <c r="J170" s="144">
        <f t="shared" si="13"/>
        <v>6156</v>
      </c>
      <c r="K170" s="21"/>
      <c r="L170" s="141">
        <v>45930</v>
      </c>
      <c r="M170" s="145">
        <v>0</v>
      </c>
      <c r="N170" s="145">
        <v>0</v>
      </c>
      <c r="O170" s="21"/>
      <c r="P170" s="21">
        <v>6156</v>
      </c>
      <c r="Q170" s="21"/>
      <c r="R170" s="21"/>
      <c r="S170" s="146">
        <f t="shared" si="14"/>
        <v>0</v>
      </c>
      <c r="T170" s="21" t="s">
        <v>204</v>
      </c>
      <c r="U170" s="11"/>
      <c r="V170" s="219"/>
    </row>
    <row r="171" spans="2:22">
      <c r="B171" s="155" t="s">
        <v>262</v>
      </c>
      <c r="C171" s="155" t="s">
        <v>31</v>
      </c>
      <c r="D171" s="155" t="s">
        <v>128</v>
      </c>
      <c r="E171" s="204">
        <v>45925</v>
      </c>
      <c r="F171" s="156">
        <v>3540</v>
      </c>
      <c r="G171" s="161">
        <v>95248</v>
      </c>
      <c r="H171" s="419"/>
      <c r="I171" s="162"/>
      <c r="J171" s="144">
        <f t="shared" si="13"/>
        <v>95248</v>
      </c>
      <c r="K171" s="21"/>
      <c r="L171" s="187">
        <v>45940</v>
      </c>
      <c r="M171" s="145">
        <v>0</v>
      </c>
      <c r="N171" s="145">
        <v>0</v>
      </c>
      <c r="O171" s="21"/>
      <c r="P171" s="21">
        <v>95248</v>
      </c>
      <c r="Q171" s="21"/>
      <c r="R171" s="21"/>
      <c r="S171" s="146">
        <f t="shared" si="14"/>
        <v>0</v>
      </c>
      <c r="T171" s="21" t="s">
        <v>204</v>
      </c>
      <c r="U171" s="11" t="s">
        <v>204</v>
      </c>
      <c r="V171" s="273">
        <v>45951</v>
      </c>
    </row>
    <row r="172" spans="2:22">
      <c r="B172" s="155" t="s">
        <v>442</v>
      </c>
      <c r="C172" s="155" t="s">
        <v>31</v>
      </c>
      <c r="D172" s="155" t="s">
        <v>128</v>
      </c>
      <c r="E172" s="157">
        <v>45925</v>
      </c>
      <c r="F172" s="156">
        <v>3600</v>
      </c>
      <c r="G172" s="161">
        <v>47602</v>
      </c>
      <c r="H172" s="419">
        <v>952</v>
      </c>
      <c r="I172" s="162"/>
      <c r="J172" s="144">
        <f t="shared" ref="J172:J180" si="15">+G172-H172-I172</f>
        <v>46650</v>
      </c>
      <c r="K172" s="21"/>
      <c r="L172" s="187">
        <v>45940</v>
      </c>
      <c r="M172" s="145">
        <v>0</v>
      </c>
      <c r="N172" s="145">
        <v>0</v>
      </c>
      <c r="O172" s="21"/>
      <c r="P172" s="21">
        <v>46650</v>
      </c>
      <c r="Q172" s="21"/>
      <c r="R172" s="21"/>
      <c r="S172" s="146">
        <f t="shared" ref="S172:S180" si="16">+J172-SUM(P172:R172)</f>
        <v>0</v>
      </c>
      <c r="T172" s="21" t="s">
        <v>204</v>
      </c>
      <c r="U172" s="11" t="s">
        <v>204</v>
      </c>
      <c r="V172" s="273">
        <v>45932</v>
      </c>
    </row>
    <row r="173" spans="2:22">
      <c r="B173" s="155" t="s">
        <v>561</v>
      </c>
      <c r="C173" s="155" t="s">
        <v>31</v>
      </c>
      <c r="D173" s="155" t="s">
        <v>128</v>
      </c>
      <c r="E173" s="157">
        <v>45926</v>
      </c>
      <c r="F173" s="156">
        <v>3690</v>
      </c>
      <c r="G173" s="161">
        <v>42084</v>
      </c>
      <c r="H173" s="419">
        <v>884</v>
      </c>
      <c r="I173" s="251"/>
      <c r="J173" s="226">
        <f t="shared" si="15"/>
        <v>41200</v>
      </c>
      <c r="K173" s="140"/>
      <c r="L173" s="187">
        <v>45941</v>
      </c>
      <c r="M173" s="145">
        <v>0</v>
      </c>
      <c r="N173" s="145">
        <v>0</v>
      </c>
      <c r="O173" s="140"/>
      <c r="P173" s="227">
        <v>41200</v>
      </c>
      <c r="Q173" s="227"/>
      <c r="R173" s="227"/>
      <c r="S173" s="228">
        <f t="shared" si="16"/>
        <v>0</v>
      </c>
      <c r="T173" s="227" t="s">
        <v>204</v>
      </c>
      <c r="U173" s="11" t="s">
        <v>204</v>
      </c>
      <c r="V173" s="273">
        <v>45932</v>
      </c>
    </row>
    <row r="174" spans="2:22">
      <c r="B174" s="155" t="s">
        <v>222</v>
      </c>
      <c r="C174" s="155" t="s">
        <v>31</v>
      </c>
      <c r="D174" s="155" t="s">
        <v>128</v>
      </c>
      <c r="E174" s="157">
        <v>45926</v>
      </c>
      <c r="F174" s="156">
        <v>3720</v>
      </c>
      <c r="G174" s="161">
        <v>15950</v>
      </c>
      <c r="H174" s="419">
        <v>320</v>
      </c>
      <c r="I174" s="162"/>
      <c r="J174" s="144">
        <f t="shared" si="15"/>
        <v>15630</v>
      </c>
      <c r="K174" s="140"/>
      <c r="L174" s="187">
        <v>45941</v>
      </c>
      <c r="M174" s="145">
        <v>0</v>
      </c>
      <c r="N174" s="145">
        <v>0</v>
      </c>
      <c r="O174" s="140"/>
      <c r="P174" s="21">
        <v>15630</v>
      </c>
      <c r="Q174" s="21"/>
      <c r="R174" s="21"/>
      <c r="S174" s="146">
        <f t="shared" si="16"/>
        <v>0</v>
      </c>
      <c r="T174" s="21" t="s">
        <v>204</v>
      </c>
      <c r="U174" s="11" t="s">
        <v>204</v>
      </c>
      <c r="V174" s="273">
        <v>45933</v>
      </c>
    </row>
    <row r="175" spans="2:22">
      <c r="B175" s="155" t="s">
        <v>195</v>
      </c>
      <c r="C175" s="155" t="s">
        <v>31</v>
      </c>
      <c r="D175" s="155" t="s">
        <v>128</v>
      </c>
      <c r="E175" s="157">
        <v>45926</v>
      </c>
      <c r="F175" s="156">
        <v>3660</v>
      </c>
      <c r="G175" s="161">
        <v>91171</v>
      </c>
      <c r="H175" s="419">
        <v>2737</v>
      </c>
      <c r="I175" s="162"/>
      <c r="J175" s="144">
        <f t="shared" si="15"/>
        <v>88434</v>
      </c>
      <c r="K175" s="140"/>
      <c r="L175" s="187">
        <v>45941</v>
      </c>
      <c r="M175" s="145">
        <v>0</v>
      </c>
      <c r="N175" s="145">
        <v>0</v>
      </c>
      <c r="O175" s="140"/>
      <c r="P175" s="21">
        <v>78214</v>
      </c>
      <c r="Q175" s="21">
        <v>10220</v>
      </c>
      <c r="R175" s="21"/>
      <c r="S175" s="146">
        <f t="shared" si="16"/>
        <v>0</v>
      </c>
      <c r="T175" s="21" t="s">
        <v>204</v>
      </c>
      <c r="U175" s="11" t="s">
        <v>204</v>
      </c>
      <c r="V175" s="273">
        <v>45932</v>
      </c>
    </row>
    <row r="176" spans="2:22">
      <c r="B176" s="155" t="s">
        <v>194</v>
      </c>
      <c r="C176" s="155" t="s">
        <v>31</v>
      </c>
      <c r="D176" s="155" t="s">
        <v>128</v>
      </c>
      <c r="E176" s="157">
        <v>45926</v>
      </c>
      <c r="F176" s="156">
        <v>3650</v>
      </c>
      <c r="G176" s="161">
        <v>21820</v>
      </c>
      <c r="H176" s="419">
        <v>670</v>
      </c>
      <c r="I176" s="162"/>
      <c r="J176" s="144">
        <f t="shared" si="15"/>
        <v>21150</v>
      </c>
      <c r="K176" s="140"/>
      <c r="L176" s="187">
        <v>45941</v>
      </c>
      <c r="M176" s="145">
        <v>0</v>
      </c>
      <c r="N176" s="145">
        <v>0</v>
      </c>
      <c r="O176" s="140"/>
      <c r="P176" s="21">
        <v>21150</v>
      </c>
      <c r="Q176" s="21"/>
      <c r="R176" s="21"/>
      <c r="S176" s="146">
        <f t="shared" si="16"/>
        <v>0</v>
      </c>
      <c r="T176" s="21" t="s">
        <v>204</v>
      </c>
      <c r="U176" s="11" t="s">
        <v>204</v>
      </c>
      <c r="V176" s="273">
        <v>45932</v>
      </c>
    </row>
    <row r="177" spans="2:22">
      <c r="B177" s="155" t="s">
        <v>223</v>
      </c>
      <c r="C177" s="155" t="s">
        <v>31</v>
      </c>
      <c r="D177" s="155" t="s">
        <v>128</v>
      </c>
      <c r="E177" s="157">
        <v>45926</v>
      </c>
      <c r="F177" s="156">
        <v>3670</v>
      </c>
      <c r="G177" s="161">
        <v>99525</v>
      </c>
      <c r="H177" s="419">
        <v>3025</v>
      </c>
      <c r="I177" s="162"/>
      <c r="J177" s="144">
        <f t="shared" si="15"/>
        <v>96500</v>
      </c>
      <c r="K177" s="140"/>
      <c r="L177" s="187">
        <v>45941</v>
      </c>
      <c r="M177" s="145">
        <v>0</v>
      </c>
      <c r="N177" s="145">
        <v>0</v>
      </c>
      <c r="O177" s="140"/>
      <c r="P177" s="21">
        <v>96500</v>
      </c>
      <c r="Q177" s="21"/>
      <c r="R177" s="21"/>
      <c r="S177" s="146">
        <f t="shared" si="16"/>
        <v>0</v>
      </c>
      <c r="T177" s="21" t="s">
        <v>204</v>
      </c>
      <c r="U177" s="11" t="s">
        <v>204</v>
      </c>
      <c r="V177" s="273">
        <v>45934</v>
      </c>
    </row>
    <row r="178" spans="2:22">
      <c r="B178" s="155" t="s">
        <v>562</v>
      </c>
      <c r="C178" s="155" t="s">
        <v>31</v>
      </c>
      <c r="D178" s="155" t="s">
        <v>128</v>
      </c>
      <c r="E178" s="157">
        <v>45926</v>
      </c>
      <c r="F178" s="156">
        <v>3640</v>
      </c>
      <c r="G178" s="161">
        <v>167107</v>
      </c>
      <c r="H178" s="419">
        <v>5107</v>
      </c>
      <c r="I178" s="162"/>
      <c r="J178" s="144">
        <f t="shared" si="15"/>
        <v>162000</v>
      </c>
      <c r="K178" s="140"/>
      <c r="L178" s="187">
        <v>45941</v>
      </c>
      <c r="M178" s="145">
        <v>0</v>
      </c>
      <c r="N178" s="145">
        <v>0</v>
      </c>
      <c r="O178" s="140"/>
      <c r="P178" s="21">
        <v>162000</v>
      </c>
      <c r="Q178" s="21"/>
      <c r="R178" s="21"/>
      <c r="S178" s="146">
        <f t="shared" si="16"/>
        <v>0</v>
      </c>
      <c r="T178" s="21" t="s">
        <v>204</v>
      </c>
      <c r="U178" s="11" t="s">
        <v>204</v>
      </c>
      <c r="V178" s="273">
        <v>45932</v>
      </c>
    </row>
    <row r="179" spans="2:22">
      <c r="B179" s="155" t="s">
        <v>90</v>
      </c>
      <c r="C179" s="155" t="s">
        <v>31</v>
      </c>
      <c r="D179" s="155" t="s">
        <v>128</v>
      </c>
      <c r="E179" s="157">
        <v>45926</v>
      </c>
      <c r="F179" s="156">
        <v>3630</v>
      </c>
      <c r="G179" s="161">
        <v>49720</v>
      </c>
      <c r="H179" s="419">
        <v>1490</v>
      </c>
      <c r="I179" s="162"/>
      <c r="J179" s="144">
        <f t="shared" si="15"/>
        <v>48230</v>
      </c>
      <c r="K179" s="140"/>
      <c r="L179" s="187">
        <v>45941</v>
      </c>
      <c r="M179" s="145">
        <v>0</v>
      </c>
      <c r="N179" s="145">
        <v>0</v>
      </c>
      <c r="O179" s="140"/>
      <c r="P179" s="21">
        <v>48230</v>
      </c>
      <c r="Q179" s="21"/>
      <c r="R179" s="21"/>
      <c r="S179" s="146">
        <f t="shared" si="16"/>
        <v>0</v>
      </c>
      <c r="T179" s="21" t="s">
        <v>204</v>
      </c>
      <c r="U179" s="11" t="s">
        <v>204</v>
      </c>
      <c r="V179" s="273">
        <v>45932</v>
      </c>
    </row>
    <row r="180" spans="2:22">
      <c r="B180" s="155" t="s">
        <v>595</v>
      </c>
      <c r="C180" s="155" t="s">
        <v>31</v>
      </c>
      <c r="D180" s="155" t="s">
        <v>128</v>
      </c>
      <c r="E180" s="157">
        <v>45926</v>
      </c>
      <c r="F180" s="156">
        <v>3680</v>
      </c>
      <c r="G180" s="161">
        <v>34759</v>
      </c>
      <c r="H180" s="419">
        <v>1042</v>
      </c>
      <c r="I180" s="162"/>
      <c r="J180" s="144">
        <f t="shared" si="15"/>
        <v>33717</v>
      </c>
      <c r="K180" s="140"/>
      <c r="L180" s="187">
        <v>45941</v>
      </c>
      <c r="M180" s="145">
        <v>0</v>
      </c>
      <c r="N180" s="145">
        <v>0</v>
      </c>
      <c r="O180" s="140"/>
      <c r="P180" s="21">
        <v>33717</v>
      </c>
      <c r="Q180" s="21"/>
      <c r="R180" s="21"/>
      <c r="S180" s="146">
        <f t="shared" si="16"/>
        <v>0</v>
      </c>
      <c r="T180" s="21" t="s">
        <v>204</v>
      </c>
      <c r="U180" s="11" t="s">
        <v>204</v>
      </c>
      <c r="V180" s="273">
        <v>45929</v>
      </c>
    </row>
    <row r="181" spans="2:22">
      <c r="B181" s="155" t="s">
        <v>580</v>
      </c>
      <c r="C181" s="155" t="s">
        <v>31</v>
      </c>
      <c r="D181" s="155" t="s">
        <v>128</v>
      </c>
      <c r="E181" s="157">
        <v>45927</v>
      </c>
      <c r="F181" s="156">
        <v>3780</v>
      </c>
      <c r="G181" s="161">
        <v>77176</v>
      </c>
      <c r="H181" s="419">
        <v>2315</v>
      </c>
      <c r="I181" s="162"/>
      <c r="J181" s="144">
        <f t="shared" ref="J181:J198" si="17">+G181-H181-I181</f>
        <v>74861</v>
      </c>
      <c r="K181" s="140"/>
      <c r="L181" s="187">
        <v>45942</v>
      </c>
      <c r="M181" s="145">
        <v>0</v>
      </c>
      <c r="N181" s="145">
        <v>0</v>
      </c>
      <c r="O181" s="140"/>
      <c r="P181" s="21">
        <v>74861</v>
      </c>
      <c r="Q181" s="21"/>
      <c r="R181" s="21"/>
      <c r="S181" s="146">
        <f t="shared" ref="S181:S198" si="18">+J181-SUM(P181:R181)</f>
        <v>0</v>
      </c>
      <c r="T181" s="21" t="s">
        <v>204</v>
      </c>
      <c r="U181" s="11" t="s">
        <v>204</v>
      </c>
      <c r="V181" s="273">
        <v>45945</v>
      </c>
    </row>
    <row r="182" spans="2:22">
      <c r="B182" s="155" t="s">
        <v>41</v>
      </c>
      <c r="C182" s="155" t="s">
        <v>31</v>
      </c>
      <c r="D182" s="155" t="s">
        <v>128</v>
      </c>
      <c r="E182" s="157">
        <v>45927</v>
      </c>
      <c r="F182" s="156">
        <v>3800</v>
      </c>
      <c r="G182" s="161">
        <v>1080254</v>
      </c>
      <c r="H182" s="419">
        <v>32409</v>
      </c>
      <c r="I182" s="162">
        <v>21605</v>
      </c>
      <c r="J182" s="144">
        <f>+G182-H182-I182</f>
        <v>1026240</v>
      </c>
      <c r="K182" s="140"/>
      <c r="L182" s="187">
        <v>45942</v>
      </c>
      <c r="M182" s="145">
        <v>0</v>
      </c>
      <c r="N182" s="145">
        <v>0</v>
      </c>
      <c r="O182" s="140"/>
      <c r="P182" s="21">
        <v>500000</v>
      </c>
      <c r="Q182" s="21">
        <v>126240</v>
      </c>
      <c r="R182" s="21">
        <v>400000</v>
      </c>
      <c r="S182" s="146">
        <f t="shared" si="18"/>
        <v>0</v>
      </c>
      <c r="T182" s="21" t="s">
        <v>204</v>
      </c>
      <c r="U182" s="11" t="s">
        <v>204</v>
      </c>
      <c r="V182" s="273">
        <v>45938</v>
      </c>
    </row>
    <row r="183" spans="2:22">
      <c r="B183" s="155" t="s">
        <v>279</v>
      </c>
      <c r="C183" s="155" t="s">
        <v>31</v>
      </c>
      <c r="D183" s="155" t="s">
        <v>128</v>
      </c>
      <c r="E183" s="157">
        <v>45927</v>
      </c>
      <c r="F183" s="156">
        <v>3760</v>
      </c>
      <c r="G183" s="161">
        <v>7026</v>
      </c>
      <c r="H183" s="419"/>
      <c r="I183" s="162"/>
      <c r="J183" s="144">
        <f>+G183-H183-I183</f>
        <v>7026</v>
      </c>
      <c r="K183" s="140"/>
      <c r="L183" s="187">
        <v>45942</v>
      </c>
      <c r="M183" s="145">
        <v>0</v>
      </c>
      <c r="N183" s="145">
        <v>0</v>
      </c>
      <c r="O183" s="140"/>
      <c r="P183" s="21">
        <v>7026</v>
      </c>
      <c r="Q183" s="21"/>
      <c r="R183" s="21"/>
      <c r="S183" s="146">
        <f t="shared" si="18"/>
        <v>0</v>
      </c>
      <c r="T183" s="21" t="s">
        <v>204</v>
      </c>
      <c r="U183" s="11" t="s">
        <v>204</v>
      </c>
      <c r="V183" s="194">
        <v>45932</v>
      </c>
    </row>
    <row r="184" spans="2:22">
      <c r="B184" s="155" t="s">
        <v>533</v>
      </c>
      <c r="C184" s="155" t="s">
        <v>590</v>
      </c>
      <c r="D184" s="155" t="s">
        <v>541</v>
      </c>
      <c r="E184" s="157">
        <v>45929</v>
      </c>
      <c r="F184" s="156">
        <v>8830</v>
      </c>
      <c r="G184" s="174">
        <v>7591</v>
      </c>
      <c r="H184" s="419"/>
      <c r="I184" s="162"/>
      <c r="J184" s="144">
        <f t="shared" si="17"/>
        <v>7591</v>
      </c>
      <c r="K184" s="140"/>
      <c r="L184" s="187">
        <v>45936</v>
      </c>
      <c r="M184" s="145">
        <v>0</v>
      </c>
      <c r="N184" s="145">
        <v>0</v>
      </c>
      <c r="O184" s="140"/>
      <c r="P184" s="21">
        <v>7591</v>
      </c>
      <c r="Q184" s="21"/>
      <c r="R184" s="21"/>
      <c r="S184" s="146">
        <f t="shared" si="18"/>
        <v>0</v>
      </c>
      <c r="T184" s="21" t="s">
        <v>204</v>
      </c>
      <c r="U184" s="11" t="s">
        <v>204</v>
      </c>
      <c r="V184" s="194">
        <v>45936</v>
      </c>
    </row>
    <row r="185" spans="2:22">
      <c r="B185" s="163" t="s">
        <v>437</v>
      </c>
      <c r="C185" s="181" t="s">
        <v>48</v>
      </c>
      <c r="D185" s="181" t="s">
        <v>26</v>
      </c>
      <c r="E185" s="204">
        <v>45929</v>
      </c>
      <c r="F185" s="203">
        <v>28420</v>
      </c>
      <c r="G185" s="250">
        <v>20522</v>
      </c>
      <c r="H185" s="421"/>
      <c r="I185" s="162"/>
      <c r="J185" s="144">
        <f t="shared" si="17"/>
        <v>20522</v>
      </c>
      <c r="K185" s="140"/>
      <c r="L185" s="187">
        <v>45936</v>
      </c>
      <c r="M185" s="145">
        <v>0</v>
      </c>
      <c r="N185" s="145">
        <v>0</v>
      </c>
      <c r="O185" s="140"/>
      <c r="P185" s="21">
        <v>20522</v>
      </c>
      <c r="Q185" s="21"/>
      <c r="R185" s="21"/>
      <c r="S185" s="146">
        <f t="shared" si="18"/>
        <v>0</v>
      </c>
      <c r="T185" s="21" t="s">
        <v>204</v>
      </c>
      <c r="U185" s="11" t="s">
        <v>204</v>
      </c>
      <c r="V185" s="194">
        <v>45932</v>
      </c>
    </row>
    <row r="186" spans="2:22">
      <c r="B186" s="11" t="s">
        <v>497</v>
      </c>
      <c r="C186" s="11" t="s">
        <v>31</v>
      </c>
      <c r="D186" s="11" t="s">
        <v>128</v>
      </c>
      <c r="E186" s="22">
        <v>45929</v>
      </c>
      <c r="F186" s="78">
        <v>3880</v>
      </c>
      <c r="G186" s="99">
        <v>46781</v>
      </c>
      <c r="H186" s="420"/>
      <c r="I186" s="225"/>
      <c r="J186" s="144">
        <f t="shared" si="17"/>
        <v>46781</v>
      </c>
      <c r="K186" s="140"/>
      <c r="L186" s="187">
        <v>45944</v>
      </c>
      <c r="M186" s="145">
        <f ca="1">+$A$1-E186</f>
        <v>61</v>
      </c>
      <c r="N186" s="145">
        <f ca="1">$A$1-L186</f>
        <v>46</v>
      </c>
      <c r="O186" s="140"/>
      <c r="P186" s="21"/>
      <c r="Q186" s="21"/>
      <c r="R186" s="21"/>
      <c r="S186" s="146">
        <f t="shared" si="18"/>
        <v>46781</v>
      </c>
      <c r="T186" s="21"/>
      <c r="U186" s="11"/>
      <c r="V186" s="214"/>
    </row>
    <row r="187" spans="2:22">
      <c r="B187" s="155" t="s">
        <v>149</v>
      </c>
      <c r="C187" s="155" t="s">
        <v>31</v>
      </c>
      <c r="D187" s="155" t="s">
        <v>128</v>
      </c>
      <c r="E187" s="157">
        <v>45929</v>
      </c>
      <c r="F187" s="156">
        <v>3840</v>
      </c>
      <c r="G187" s="161">
        <v>28413</v>
      </c>
      <c r="H187" s="419">
        <v>461</v>
      </c>
      <c r="I187" s="162"/>
      <c r="J187" s="144">
        <f t="shared" si="17"/>
        <v>27952</v>
      </c>
      <c r="K187" s="140"/>
      <c r="L187" s="187">
        <v>45944</v>
      </c>
      <c r="M187" s="145">
        <v>0</v>
      </c>
      <c r="N187" s="145">
        <v>0</v>
      </c>
      <c r="O187" s="140"/>
      <c r="P187" s="21">
        <v>27952</v>
      </c>
      <c r="Q187" s="21"/>
      <c r="R187" s="21"/>
      <c r="S187" s="146">
        <f t="shared" si="18"/>
        <v>0</v>
      </c>
      <c r="T187" s="21" t="s">
        <v>204</v>
      </c>
      <c r="U187" s="11" t="s">
        <v>204</v>
      </c>
      <c r="V187" s="214"/>
    </row>
    <row r="188" spans="2:22">
      <c r="B188" s="155" t="s">
        <v>538</v>
      </c>
      <c r="C188" s="155" t="s">
        <v>31</v>
      </c>
      <c r="D188" s="155" t="s">
        <v>128</v>
      </c>
      <c r="E188" s="157">
        <v>45929</v>
      </c>
      <c r="F188" s="156">
        <v>3860</v>
      </c>
      <c r="G188" s="161">
        <v>26838</v>
      </c>
      <c r="H188" s="419">
        <v>536</v>
      </c>
      <c r="I188" s="162"/>
      <c r="J188" s="144">
        <f t="shared" si="17"/>
        <v>26302</v>
      </c>
      <c r="K188" s="140"/>
      <c r="L188" s="187">
        <v>45944</v>
      </c>
      <c r="M188" s="145">
        <v>0</v>
      </c>
      <c r="N188" s="145">
        <v>0</v>
      </c>
      <c r="O188" s="140"/>
      <c r="P188" s="21">
        <v>25840</v>
      </c>
      <c r="Q188" s="21">
        <v>462</v>
      </c>
      <c r="R188" s="21"/>
      <c r="S188" s="146">
        <f t="shared" si="18"/>
        <v>0</v>
      </c>
      <c r="T188" s="21" t="s">
        <v>204</v>
      </c>
      <c r="U188" s="11" t="s">
        <v>204</v>
      </c>
      <c r="V188" s="194">
        <v>45934</v>
      </c>
    </row>
    <row r="189" spans="2:22">
      <c r="B189" s="155" t="s">
        <v>451</v>
      </c>
      <c r="C189" s="155" t="s">
        <v>31</v>
      </c>
      <c r="D189" s="155" t="s">
        <v>128</v>
      </c>
      <c r="E189" s="157">
        <v>45929</v>
      </c>
      <c r="F189" s="156">
        <v>3850</v>
      </c>
      <c r="G189" s="161">
        <v>105805</v>
      </c>
      <c r="H189" s="419">
        <v>3174</v>
      </c>
      <c r="I189" s="162"/>
      <c r="J189" s="144">
        <f t="shared" si="17"/>
        <v>102631</v>
      </c>
      <c r="K189" s="140"/>
      <c r="L189" s="187">
        <v>45944</v>
      </c>
      <c r="M189" s="145">
        <v>0</v>
      </c>
      <c r="N189" s="145">
        <v>0</v>
      </c>
      <c r="O189" s="140"/>
      <c r="P189" s="21">
        <v>15805</v>
      </c>
      <c r="Q189" s="21">
        <v>86826</v>
      </c>
      <c r="R189" s="21"/>
      <c r="S189" s="146">
        <f t="shared" si="18"/>
        <v>0</v>
      </c>
      <c r="T189" s="21" t="s">
        <v>204</v>
      </c>
      <c r="U189" s="11" t="s">
        <v>204</v>
      </c>
      <c r="V189" s="194">
        <v>45943</v>
      </c>
    </row>
    <row r="190" spans="2:22">
      <c r="B190" s="163" t="s">
        <v>167</v>
      </c>
      <c r="C190" s="155" t="s">
        <v>56</v>
      </c>
      <c r="D190" s="155" t="s">
        <v>31</v>
      </c>
      <c r="E190" s="157">
        <v>45929</v>
      </c>
      <c r="F190" s="156">
        <v>8430</v>
      </c>
      <c r="G190" s="158">
        <v>18286</v>
      </c>
      <c r="H190" s="419"/>
      <c r="I190" s="162"/>
      <c r="J190" s="144">
        <f t="shared" si="17"/>
        <v>18286</v>
      </c>
      <c r="K190" s="140"/>
      <c r="L190" s="187">
        <v>45936</v>
      </c>
      <c r="M190" s="145">
        <v>0</v>
      </c>
      <c r="N190" s="145">
        <v>0</v>
      </c>
      <c r="O190" s="140"/>
      <c r="P190" s="21">
        <v>18286</v>
      </c>
      <c r="Q190" s="21"/>
      <c r="R190" s="21"/>
      <c r="S190" s="146">
        <f t="shared" si="18"/>
        <v>0</v>
      </c>
      <c r="T190" s="21" t="s">
        <v>204</v>
      </c>
      <c r="U190" s="11" t="s">
        <v>204</v>
      </c>
      <c r="V190" s="194">
        <v>45931</v>
      </c>
    </row>
    <row r="191" spans="2:22">
      <c r="B191" s="155" t="s">
        <v>602</v>
      </c>
      <c r="C191" s="155"/>
      <c r="D191" s="155"/>
      <c r="E191" s="157">
        <v>45929</v>
      </c>
      <c r="F191" s="156">
        <v>2810</v>
      </c>
      <c r="G191" s="158">
        <v>52025</v>
      </c>
      <c r="H191" s="419"/>
      <c r="I191" s="162">
        <v>555</v>
      </c>
      <c r="J191" s="144">
        <f t="shared" si="17"/>
        <v>51470</v>
      </c>
      <c r="K191" s="140"/>
      <c r="L191" s="141">
        <v>45929</v>
      </c>
      <c r="M191" s="145">
        <v>0</v>
      </c>
      <c r="N191" s="145">
        <v>0</v>
      </c>
      <c r="O191" s="140"/>
      <c r="P191" s="21">
        <v>51470</v>
      </c>
      <c r="Q191" s="21"/>
      <c r="R191" s="21"/>
      <c r="S191" s="146">
        <f t="shared" si="18"/>
        <v>0</v>
      </c>
      <c r="T191" s="21" t="s">
        <v>204</v>
      </c>
      <c r="U191" s="11" t="s">
        <v>204</v>
      </c>
      <c r="V191" s="194">
        <v>45929</v>
      </c>
    </row>
    <row r="192" spans="2:22">
      <c r="B192" s="163" t="s">
        <v>607</v>
      </c>
      <c r="C192" s="155" t="s">
        <v>31</v>
      </c>
      <c r="D192" s="155" t="s">
        <v>128</v>
      </c>
      <c r="E192" s="204">
        <v>45925</v>
      </c>
      <c r="F192" s="156">
        <v>3560</v>
      </c>
      <c r="G192" s="158">
        <v>53314</v>
      </c>
      <c r="H192" s="419"/>
      <c r="I192" s="162"/>
      <c r="J192" s="144">
        <f t="shared" si="17"/>
        <v>53314</v>
      </c>
      <c r="K192" s="140"/>
      <c r="L192" s="187">
        <v>45940</v>
      </c>
      <c r="M192" s="145">
        <v>0</v>
      </c>
      <c r="N192" s="145">
        <v>0</v>
      </c>
      <c r="O192" s="140"/>
      <c r="P192" s="21">
        <v>13314</v>
      </c>
      <c r="Q192" s="21">
        <v>10000</v>
      </c>
      <c r="R192" s="21">
        <v>30000</v>
      </c>
      <c r="S192" s="146">
        <f t="shared" si="18"/>
        <v>0</v>
      </c>
      <c r="T192" s="21" t="s">
        <v>204</v>
      </c>
      <c r="U192" s="11" t="s">
        <v>204</v>
      </c>
      <c r="V192" s="273">
        <v>45946</v>
      </c>
    </row>
    <row r="193" spans="2:22">
      <c r="B193" s="155" t="s">
        <v>155</v>
      </c>
      <c r="C193" s="155" t="s">
        <v>31</v>
      </c>
      <c r="D193" s="155" t="s">
        <v>128</v>
      </c>
      <c r="E193" s="157">
        <v>45930</v>
      </c>
      <c r="F193" s="156">
        <v>3790</v>
      </c>
      <c r="G193" s="158">
        <v>474747</v>
      </c>
      <c r="H193" s="419">
        <v>14242</v>
      </c>
      <c r="I193" s="162">
        <v>9495</v>
      </c>
      <c r="J193" s="144">
        <f t="shared" si="17"/>
        <v>451010</v>
      </c>
      <c r="K193" s="140"/>
      <c r="L193" s="187">
        <v>45945</v>
      </c>
      <c r="M193" s="145">
        <v>0</v>
      </c>
      <c r="N193" s="145">
        <v>0</v>
      </c>
      <c r="O193" s="140"/>
      <c r="P193" s="21">
        <v>90000</v>
      </c>
      <c r="Q193" s="50">
        <v>155010</v>
      </c>
      <c r="R193" s="21">
        <v>206000</v>
      </c>
      <c r="S193" s="146">
        <f t="shared" si="18"/>
        <v>0</v>
      </c>
      <c r="T193" s="21" t="s">
        <v>204</v>
      </c>
      <c r="U193" s="11" t="s">
        <v>204</v>
      </c>
      <c r="V193" s="273">
        <v>45950</v>
      </c>
    </row>
    <row r="194" spans="2:22">
      <c r="B194" s="155" t="s">
        <v>474</v>
      </c>
      <c r="C194" s="155" t="s">
        <v>56</v>
      </c>
      <c r="D194" s="155" t="s">
        <v>31</v>
      </c>
      <c r="E194" s="245">
        <v>45932</v>
      </c>
      <c r="F194" s="156">
        <v>29790</v>
      </c>
      <c r="G194" s="155">
        <v>16203</v>
      </c>
      <c r="H194" s="419"/>
      <c r="I194" s="162"/>
      <c r="J194" s="144">
        <f t="shared" si="17"/>
        <v>16203</v>
      </c>
      <c r="K194" s="140"/>
      <c r="L194" s="187">
        <v>45940</v>
      </c>
      <c r="M194" s="145">
        <v>0</v>
      </c>
      <c r="N194" s="145">
        <v>0</v>
      </c>
      <c r="O194" s="140"/>
      <c r="P194" s="21">
        <v>16203</v>
      </c>
      <c r="Q194" s="21"/>
      <c r="R194" s="21"/>
      <c r="S194" s="146">
        <f t="shared" si="18"/>
        <v>0</v>
      </c>
      <c r="T194" s="21" t="s">
        <v>204</v>
      </c>
      <c r="U194" s="11" t="s">
        <v>204</v>
      </c>
      <c r="V194" s="273">
        <v>45946</v>
      </c>
    </row>
    <row r="195" spans="2:22">
      <c r="B195" s="155" t="s">
        <v>645</v>
      </c>
      <c r="C195" s="155" t="s">
        <v>56</v>
      </c>
      <c r="D195" s="155" t="s">
        <v>31</v>
      </c>
      <c r="E195" s="245">
        <v>45932</v>
      </c>
      <c r="F195" s="156">
        <v>29580</v>
      </c>
      <c r="G195" s="155">
        <v>5142</v>
      </c>
      <c r="H195" s="419"/>
      <c r="I195" s="162"/>
      <c r="J195" s="144">
        <f t="shared" si="17"/>
        <v>5142</v>
      </c>
      <c r="K195" s="140"/>
      <c r="L195" s="187">
        <v>45934</v>
      </c>
      <c r="M195" s="145">
        <v>0</v>
      </c>
      <c r="N195" s="145">
        <v>0</v>
      </c>
      <c r="O195" s="140"/>
      <c r="P195" s="21">
        <v>5142</v>
      </c>
      <c r="Q195" s="21"/>
      <c r="R195" s="21"/>
      <c r="S195" s="146">
        <f t="shared" si="18"/>
        <v>0</v>
      </c>
      <c r="T195" s="21" t="s">
        <v>204</v>
      </c>
      <c r="U195" s="11" t="s">
        <v>204</v>
      </c>
      <c r="V195" s="214"/>
    </row>
    <row r="196" spans="2:22">
      <c r="B196" s="155" t="s">
        <v>190</v>
      </c>
      <c r="C196" s="155" t="s">
        <v>31</v>
      </c>
      <c r="D196" s="155" t="s">
        <v>128</v>
      </c>
      <c r="E196" s="245">
        <v>45932</v>
      </c>
      <c r="F196" s="156">
        <v>3970</v>
      </c>
      <c r="G196" s="161">
        <v>262991</v>
      </c>
      <c r="H196" s="419">
        <f>10520</f>
        <v>10520</v>
      </c>
      <c r="I196" s="162">
        <v>5259</v>
      </c>
      <c r="J196" s="144">
        <f t="shared" si="17"/>
        <v>247212</v>
      </c>
      <c r="K196" s="140"/>
      <c r="L196" s="187">
        <v>45947</v>
      </c>
      <c r="M196" s="145">
        <v>0</v>
      </c>
      <c r="N196" s="145">
        <v>0</v>
      </c>
      <c r="O196" s="140"/>
      <c r="P196" s="21">
        <v>162239</v>
      </c>
      <c r="Q196" s="21">
        <v>38000</v>
      </c>
      <c r="R196" s="21"/>
      <c r="S196" s="146">
        <f t="shared" si="18"/>
        <v>46973</v>
      </c>
      <c r="T196" s="21" t="s">
        <v>204</v>
      </c>
      <c r="U196" s="11" t="s">
        <v>204</v>
      </c>
      <c r="V196" s="273">
        <v>45976</v>
      </c>
    </row>
    <row r="197" spans="2:22">
      <c r="B197" s="155" t="s">
        <v>476</v>
      </c>
      <c r="C197" s="155" t="s">
        <v>31</v>
      </c>
      <c r="D197" s="155" t="s">
        <v>128</v>
      </c>
      <c r="E197" s="245">
        <v>45932</v>
      </c>
      <c r="F197" s="156">
        <v>3930</v>
      </c>
      <c r="G197" s="161">
        <v>27005</v>
      </c>
      <c r="H197" s="419">
        <v>805</v>
      </c>
      <c r="I197" s="162"/>
      <c r="J197" s="144">
        <f t="shared" si="17"/>
        <v>26200</v>
      </c>
      <c r="K197" s="140"/>
      <c r="L197" s="187">
        <v>45947</v>
      </c>
      <c r="M197" s="145">
        <v>0</v>
      </c>
      <c r="N197" s="145">
        <v>0</v>
      </c>
      <c r="O197" s="140"/>
      <c r="P197" s="21">
        <v>26200</v>
      </c>
      <c r="Q197" s="21"/>
      <c r="R197" s="21"/>
      <c r="S197" s="146">
        <f t="shared" si="18"/>
        <v>0</v>
      </c>
      <c r="T197" s="21" t="s">
        <v>204</v>
      </c>
      <c r="U197" s="11" t="s">
        <v>204</v>
      </c>
      <c r="V197" s="194">
        <v>45939</v>
      </c>
    </row>
    <row r="198" spans="2:22">
      <c r="B198" s="155" t="s">
        <v>477</v>
      </c>
      <c r="C198" s="155" t="s">
        <v>31</v>
      </c>
      <c r="D198" s="155" t="s">
        <v>128</v>
      </c>
      <c r="E198" s="245">
        <v>45932</v>
      </c>
      <c r="F198" s="156">
        <v>3960</v>
      </c>
      <c r="G198" s="161">
        <v>71406</v>
      </c>
      <c r="H198" s="419">
        <v>2142</v>
      </c>
      <c r="I198" s="162"/>
      <c r="J198" s="144">
        <f t="shared" si="17"/>
        <v>69264</v>
      </c>
      <c r="K198" s="140"/>
      <c r="L198" s="187">
        <v>45947</v>
      </c>
      <c r="M198" s="145">
        <v>0</v>
      </c>
      <c r="N198" s="145">
        <v>0</v>
      </c>
      <c r="O198" s="140"/>
      <c r="P198" s="21">
        <v>264</v>
      </c>
      <c r="Q198" s="21">
        <v>69000</v>
      </c>
      <c r="R198" s="21"/>
      <c r="S198" s="146">
        <f t="shared" si="18"/>
        <v>0</v>
      </c>
      <c r="T198" s="21" t="s">
        <v>204</v>
      </c>
      <c r="U198" s="11" t="s">
        <v>204</v>
      </c>
      <c r="V198" s="194">
        <v>45946</v>
      </c>
    </row>
    <row r="199" spans="2:22">
      <c r="B199" s="155" t="s">
        <v>223</v>
      </c>
      <c r="C199" s="155" t="s">
        <v>31</v>
      </c>
      <c r="D199" s="155" t="s">
        <v>128</v>
      </c>
      <c r="E199" s="245">
        <v>45933</v>
      </c>
      <c r="F199" s="156">
        <v>4010</v>
      </c>
      <c r="G199" s="161">
        <v>36105</v>
      </c>
      <c r="H199" s="419">
        <v>1105</v>
      </c>
      <c r="I199" s="162"/>
      <c r="J199" s="144">
        <f t="shared" ref="J199:J226" si="19">+G199-H199-I199</f>
        <v>35000</v>
      </c>
      <c r="K199" s="140"/>
      <c r="L199" s="187">
        <v>45948</v>
      </c>
      <c r="M199" s="145">
        <v>0</v>
      </c>
      <c r="N199" s="145">
        <v>0</v>
      </c>
      <c r="O199" s="140"/>
      <c r="P199" s="21">
        <v>35000</v>
      </c>
      <c r="Q199" s="21"/>
      <c r="R199" s="21"/>
      <c r="S199" s="146">
        <f t="shared" ref="S199:S226" si="20">+J199-SUM(P199:R199)</f>
        <v>0</v>
      </c>
      <c r="T199" s="21" t="s">
        <v>204</v>
      </c>
      <c r="U199" s="11" t="s">
        <v>204</v>
      </c>
      <c r="V199" s="194">
        <v>45934</v>
      </c>
    </row>
    <row r="200" spans="2:22">
      <c r="B200" s="155" t="s">
        <v>677</v>
      </c>
      <c r="C200" s="155" t="s">
        <v>31</v>
      </c>
      <c r="D200" s="155" t="s">
        <v>128</v>
      </c>
      <c r="E200" s="245">
        <v>45933</v>
      </c>
      <c r="F200" s="156">
        <v>4040</v>
      </c>
      <c r="G200" s="161">
        <v>59540</v>
      </c>
      <c r="H200" s="419">
        <v>1191</v>
      </c>
      <c r="I200" s="236"/>
      <c r="J200" s="220">
        <f t="shared" si="19"/>
        <v>58349</v>
      </c>
      <c r="K200" s="140"/>
      <c r="L200" s="187">
        <v>45948</v>
      </c>
      <c r="M200" s="145">
        <v>0</v>
      </c>
      <c r="N200" s="145">
        <v>0</v>
      </c>
      <c r="O200" s="140"/>
      <c r="P200" s="222">
        <v>58349</v>
      </c>
      <c r="Q200" s="222"/>
      <c r="R200" s="222"/>
      <c r="S200" s="223">
        <f t="shared" si="20"/>
        <v>0</v>
      </c>
      <c r="T200" s="222" t="s">
        <v>204</v>
      </c>
      <c r="U200" s="180" t="s">
        <v>204</v>
      </c>
      <c r="V200" s="224"/>
    </row>
    <row r="201" spans="2:22">
      <c r="B201" s="155" t="s">
        <v>195</v>
      </c>
      <c r="C201" s="155" t="s">
        <v>31</v>
      </c>
      <c r="D201" s="155" t="s">
        <v>128</v>
      </c>
      <c r="E201" s="245">
        <v>45933</v>
      </c>
      <c r="F201" s="156">
        <v>4020</v>
      </c>
      <c r="G201" s="161">
        <v>122880</v>
      </c>
      <c r="H201" s="419">
        <v>3690</v>
      </c>
      <c r="I201" s="162"/>
      <c r="J201" s="144">
        <f t="shared" si="19"/>
        <v>119190</v>
      </c>
      <c r="K201" s="21"/>
      <c r="L201" s="187">
        <v>45948</v>
      </c>
      <c r="M201" s="145">
        <v>0</v>
      </c>
      <c r="N201" s="145">
        <v>0</v>
      </c>
      <c r="O201" s="21"/>
      <c r="P201" s="21">
        <v>3370</v>
      </c>
      <c r="Q201" s="21">
        <v>60820</v>
      </c>
      <c r="R201" s="21">
        <v>55000</v>
      </c>
      <c r="S201" s="146">
        <f t="shared" si="20"/>
        <v>0</v>
      </c>
      <c r="T201" s="21" t="s">
        <v>204</v>
      </c>
      <c r="U201" s="11" t="s">
        <v>204</v>
      </c>
      <c r="V201" s="194">
        <v>45939</v>
      </c>
    </row>
    <row r="202" spans="2:22">
      <c r="B202" s="155" t="s">
        <v>194</v>
      </c>
      <c r="C202" s="155" t="s">
        <v>31</v>
      </c>
      <c r="D202" s="155" t="s">
        <v>128</v>
      </c>
      <c r="E202" s="245">
        <v>45933</v>
      </c>
      <c r="F202" s="156">
        <v>4000</v>
      </c>
      <c r="G202" s="161">
        <v>55811</v>
      </c>
      <c r="H202" s="419">
        <v>2413</v>
      </c>
      <c r="I202" s="162"/>
      <c r="J202" s="144">
        <f t="shared" si="19"/>
        <v>53398</v>
      </c>
      <c r="K202" s="21"/>
      <c r="L202" s="187">
        <v>45948</v>
      </c>
      <c r="M202" s="145">
        <v>0</v>
      </c>
      <c r="N202" s="145">
        <v>0</v>
      </c>
      <c r="O202" s="21"/>
      <c r="P202" s="21">
        <v>53398</v>
      </c>
      <c r="Q202" s="21"/>
      <c r="R202" s="21"/>
      <c r="S202" s="146">
        <f t="shared" si="20"/>
        <v>0</v>
      </c>
      <c r="T202" s="21" t="s">
        <v>204</v>
      </c>
      <c r="U202" s="11" t="s">
        <v>204</v>
      </c>
      <c r="V202" s="194">
        <v>45939</v>
      </c>
    </row>
    <row r="203" spans="2:22">
      <c r="B203" s="155" t="s">
        <v>515</v>
      </c>
      <c r="C203" s="155" t="s">
        <v>31</v>
      </c>
      <c r="D203" s="155" t="s">
        <v>128</v>
      </c>
      <c r="E203" s="245">
        <v>45933</v>
      </c>
      <c r="F203" s="156">
        <v>3980</v>
      </c>
      <c r="G203" s="161">
        <v>16557</v>
      </c>
      <c r="H203" s="419">
        <v>331</v>
      </c>
      <c r="I203" s="162"/>
      <c r="J203" s="144">
        <f t="shared" si="19"/>
        <v>16226</v>
      </c>
      <c r="K203" s="21"/>
      <c r="L203" s="187">
        <v>45948</v>
      </c>
      <c r="M203" s="145">
        <v>0</v>
      </c>
      <c r="N203" s="145">
        <v>0</v>
      </c>
      <c r="O203" s="21"/>
      <c r="P203" s="21">
        <v>16226</v>
      </c>
      <c r="Q203" s="21"/>
      <c r="R203" s="21"/>
      <c r="S203" s="146">
        <f t="shared" si="20"/>
        <v>0</v>
      </c>
      <c r="T203" s="21" t="s">
        <v>204</v>
      </c>
      <c r="U203" s="11" t="s">
        <v>204</v>
      </c>
      <c r="V203" s="194">
        <v>45951</v>
      </c>
    </row>
    <row r="204" spans="2:22">
      <c r="B204" s="163" t="s">
        <v>90</v>
      </c>
      <c r="C204" s="155" t="s">
        <v>31</v>
      </c>
      <c r="D204" s="155" t="s">
        <v>128</v>
      </c>
      <c r="E204" s="245">
        <v>45933</v>
      </c>
      <c r="F204" s="303" t="s">
        <v>684</v>
      </c>
      <c r="G204" s="174">
        <v>44009</v>
      </c>
      <c r="H204" s="419">
        <v>1320</v>
      </c>
      <c r="I204" s="162"/>
      <c r="J204" s="144">
        <f t="shared" ref="J204" si="21">+G204-H204-I204</f>
        <v>42689</v>
      </c>
      <c r="K204" s="140"/>
      <c r="L204" s="187">
        <v>45948</v>
      </c>
      <c r="M204" s="145">
        <v>0</v>
      </c>
      <c r="N204" s="145">
        <v>0</v>
      </c>
      <c r="O204" s="140"/>
      <c r="P204" s="21">
        <v>42689</v>
      </c>
      <c r="Q204" s="21"/>
      <c r="R204" s="21"/>
      <c r="S204" s="146">
        <f t="shared" si="20"/>
        <v>0</v>
      </c>
      <c r="T204" s="21" t="s">
        <v>204</v>
      </c>
      <c r="U204" s="11" t="s">
        <v>204</v>
      </c>
      <c r="V204" s="194">
        <v>45941</v>
      </c>
    </row>
    <row r="205" spans="2:22">
      <c r="B205" s="163" t="s">
        <v>682</v>
      </c>
      <c r="C205" s="155" t="s">
        <v>31</v>
      </c>
      <c r="D205" s="155" t="s">
        <v>128</v>
      </c>
      <c r="E205" s="245">
        <v>45934</v>
      </c>
      <c r="F205" s="156">
        <v>4100</v>
      </c>
      <c r="G205" s="161">
        <v>27608</v>
      </c>
      <c r="H205" s="419">
        <v>552</v>
      </c>
      <c r="I205" s="162"/>
      <c r="J205" s="144">
        <f t="shared" si="19"/>
        <v>27056</v>
      </c>
      <c r="K205" s="140"/>
      <c r="L205" s="187">
        <v>45948</v>
      </c>
      <c r="M205" s="145">
        <v>0</v>
      </c>
      <c r="N205" s="145">
        <v>0</v>
      </c>
      <c r="O205" s="140"/>
      <c r="P205" s="21">
        <v>10056</v>
      </c>
      <c r="Q205" s="21">
        <v>17000</v>
      </c>
      <c r="R205" s="21"/>
      <c r="S205" s="146">
        <f t="shared" si="20"/>
        <v>0</v>
      </c>
      <c r="T205" s="21" t="s">
        <v>204</v>
      </c>
      <c r="U205" s="11" t="s">
        <v>204</v>
      </c>
      <c r="V205" s="194">
        <v>45948</v>
      </c>
    </row>
    <row r="206" spans="2:22">
      <c r="B206" s="163" t="s">
        <v>156</v>
      </c>
      <c r="C206" s="155" t="s">
        <v>31</v>
      </c>
      <c r="D206" s="155" t="s">
        <v>128</v>
      </c>
      <c r="E206" s="245">
        <v>45934</v>
      </c>
      <c r="F206" s="156">
        <v>4110</v>
      </c>
      <c r="G206" s="161">
        <v>290302</v>
      </c>
      <c r="H206" s="419">
        <v>8709</v>
      </c>
      <c r="I206" s="162">
        <v>5806</v>
      </c>
      <c r="J206" s="144">
        <f t="shared" si="19"/>
        <v>275787</v>
      </c>
      <c r="K206" s="140"/>
      <c r="L206" s="187">
        <v>45948</v>
      </c>
      <c r="M206" s="145">
        <v>0</v>
      </c>
      <c r="N206" s="145">
        <v>0</v>
      </c>
      <c r="O206" s="140"/>
      <c r="P206" s="50">
        <v>150000</v>
      </c>
      <c r="Q206" s="21">
        <v>93760</v>
      </c>
      <c r="R206" s="21">
        <v>32027</v>
      </c>
      <c r="S206" s="146">
        <f t="shared" si="20"/>
        <v>0</v>
      </c>
      <c r="T206" s="21" t="s">
        <v>204</v>
      </c>
      <c r="U206" s="11" t="s">
        <v>204</v>
      </c>
      <c r="V206" s="194">
        <v>45946</v>
      </c>
    </row>
    <row r="207" spans="2:22">
      <c r="B207" s="163" t="s">
        <v>683</v>
      </c>
      <c r="C207" s="155" t="s">
        <v>31</v>
      </c>
      <c r="D207" s="155" t="s">
        <v>128</v>
      </c>
      <c r="E207" s="245">
        <v>45934</v>
      </c>
      <c r="F207" s="156">
        <v>4090</v>
      </c>
      <c r="G207" s="161">
        <v>29524</v>
      </c>
      <c r="H207" s="419"/>
      <c r="I207" s="162"/>
      <c r="J207" s="144">
        <f t="shared" si="19"/>
        <v>29524</v>
      </c>
      <c r="K207" s="140"/>
      <c r="L207" s="187">
        <v>45948</v>
      </c>
      <c r="M207" s="145">
        <v>0</v>
      </c>
      <c r="N207" s="145">
        <v>0</v>
      </c>
      <c r="O207" s="140"/>
      <c r="P207" s="21">
        <v>29524</v>
      </c>
      <c r="Q207" s="21"/>
      <c r="R207" s="21"/>
      <c r="S207" s="146">
        <f t="shared" si="20"/>
        <v>0</v>
      </c>
      <c r="T207" s="21" t="s">
        <v>204</v>
      </c>
      <c r="U207" s="11" t="s">
        <v>204</v>
      </c>
      <c r="V207" s="194">
        <v>45939</v>
      </c>
    </row>
    <row r="208" spans="2:22">
      <c r="B208" s="155" t="s">
        <v>41</v>
      </c>
      <c r="C208" s="155" t="s">
        <v>693</v>
      </c>
      <c r="D208" s="155" t="s">
        <v>128</v>
      </c>
      <c r="E208" s="245">
        <v>45934</v>
      </c>
      <c r="F208" s="240" t="s">
        <v>694</v>
      </c>
      <c r="G208" s="155">
        <v>37687</v>
      </c>
      <c r="H208" s="419"/>
      <c r="I208" s="162">
        <v>687</v>
      </c>
      <c r="J208" s="144">
        <f t="shared" si="19"/>
        <v>37000</v>
      </c>
      <c r="K208" s="140"/>
      <c r="L208" s="187">
        <v>45934</v>
      </c>
      <c r="M208" s="145">
        <v>0</v>
      </c>
      <c r="N208" s="145">
        <v>0</v>
      </c>
      <c r="O208" s="140"/>
      <c r="P208" s="21">
        <v>37000</v>
      </c>
      <c r="Q208" s="50"/>
      <c r="R208" s="21"/>
      <c r="S208" s="146">
        <f t="shared" si="20"/>
        <v>0</v>
      </c>
      <c r="T208" s="21" t="s">
        <v>204</v>
      </c>
      <c r="U208" s="11" t="s">
        <v>204</v>
      </c>
      <c r="V208" s="194">
        <v>45934</v>
      </c>
    </row>
    <row r="209" spans="2:22">
      <c r="B209" s="155" t="s">
        <v>533</v>
      </c>
      <c r="C209" s="155" t="s">
        <v>63</v>
      </c>
      <c r="D209" s="155" t="s">
        <v>64</v>
      </c>
      <c r="E209" s="245">
        <v>45936</v>
      </c>
      <c r="F209" s="304" t="s">
        <v>702</v>
      </c>
      <c r="G209" s="155">
        <v>6997</v>
      </c>
      <c r="H209" s="419"/>
      <c r="I209" s="162"/>
      <c r="J209" s="144">
        <f t="shared" si="19"/>
        <v>6997</v>
      </c>
      <c r="K209" s="140"/>
      <c r="L209" s="187">
        <v>45943</v>
      </c>
      <c r="M209" s="145">
        <v>0</v>
      </c>
      <c r="N209" s="145">
        <v>0</v>
      </c>
      <c r="O209" s="140"/>
      <c r="P209" s="50">
        <v>6997</v>
      </c>
      <c r="Q209" s="21"/>
      <c r="R209" s="21"/>
      <c r="S209" s="146">
        <f t="shared" si="20"/>
        <v>0</v>
      </c>
      <c r="T209" s="21" t="s">
        <v>204</v>
      </c>
      <c r="U209" s="11" t="s">
        <v>204</v>
      </c>
      <c r="V209" s="194">
        <v>45943</v>
      </c>
    </row>
    <row r="210" spans="2:22">
      <c r="B210" s="155" t="s">
        <v>538</v>
      </c>
      <c r="C210" s="155" t="s">
        <v>31</v>
      </c>
      <c r="D210" s="155" t="s">
        <v>128</v>
      </c>
      <c r="E210" s="245">
        <v>45936</v>
      </c>
      <c r="F210" s="156">
        <v>4170</v>
      </c>
      <c r="G210" s="161">
        <v>41367</v>
      </c>
      <c r="H210" s="419">
        <v>827</v>
      </c>
      <c r="I210" s="162"/>
      <c r="J210" s="144">
        <f t="shared" si="19"/>
        <v>40540</v>
      </c>
      <c r="K210" s="140"/>
      <c r="L210" s="187">
        <v>45950</v>
      </c>
      <c r="M210" s="145">
        <v>0</v>
      </c>
      <c r="N210" s="145">
        <v>0</v>
      </c>
      <c r="O210" s="140"/>
      <c r="P210" s="21">
        <v>10000</v>
      </c>
      <c r="Q210" s="21">
        <v>15000</v>
      </c>
      <c r="R210" s="21">
        <v>15540</v>
      </c>
      <c r="S210" s="146">
        <f t="shared" si="20"/>
        <v>0</v>
      </c>
      <c r="T210" s="21" t="s">
        <v>204</v>
      </c>
      <c r="U210" s="11" t="s">
        <v>204</v>
      </c>
      <c r="V210" s="194">
        <v>45958</v>
      </c>
    </row>
    <row r="211" spans="2:22">
      <c r="B211" s="155" t="s">
        <v>233</v>
      </c>
      <c r="C211" s="155" t="s">
        <v>31</v>
      </c>
      <c r="D211" s="155" t="s">
        <v>128</v>
      </c>
      <c r="E211" s="245">
        <v>45936</v>
      </c>
      <c r="F211" s="156">
        <v>4190</v>
      </c>
      <c r="G211" s="161">
        <v>67294</v>
      </c>
      <c r="H211" s="419">
        <v>2019</v>
      </c>
      <c r="I211" s="162"/>
      <c r="J211" s="144">
        <f t="shared" si="19"/>
        <v>65275</v>
      </c>
      <c r="K211" s="140"/>
      <c r="L211" s="187">
        <v>45950</v>
      </c>
      <c r="M211" s="145">
        <v>0</v>
      </c>
      <c r="N211" s="145">
        <v>0</v>
      </c>
      <c r="O211" s="140"/>
      <c r="P211" s="21">
        <v>30000</v>
      </c>
      <c r="Q211" s="21">
        <v>35275</v>
      </c>
      <c r="R211" s="21"/>
      <c r="S211" s="146">
        <f t="shared" si="20"/>
        <v>0</v>
      </c>
      <c r="T211" s="21" t="s">
        <v>204</v>
      </c>
      <c r="U211" s="11" t="s">
        <v>204</v>
      </c>
      <c r="V211" s="187">
        <v>45978</v>
      </c>
    </row>
    <row r="212" spans="2:22">
      <c r="B212" s="155" t="s">
        <v>439</v>
      </c>
      <c r="C212" s="155" t="s">
        <v>56</v>
      </c>
      <c r="D212" s="155" t="s">
        <v>31</v>
      </c>
      <c r="E212" s="245">
        <v>45936</v>
      </c>
      <c r="F212" s="240" t="s">
        <v>711</v>
      </c>
      <c r="G212" s="158">
        <v>4573</v>
      </c>
      <c r="H212" s="419"/>
      <c r="I212" s="162"/>
      <c r="J212" s="144">
        <f t="shared" si="19"/>
        <v>4573</v>
      </c>
      <c r="K212" s="140"/>
      <c r="L212" s="187">
        <v>45943</v>
      </c>
      <c r="M212" s="145">
        <v>0</v>
      </c>
      <c r="N212" s="145">
        <v>0</v>
      </c>
      <c r="O212" s="140"/>
      <c r="P212" s="21">
        <v>4573</v>
      </c>
      <c r="Q212" s="21"/>
      <c r="R212" s="21"/>
      <c r="S212" s="146">
        <f t="shared" si="20"/>
        <v>0</v>
      </c>
      <c r="T212" s="21" t="s">
        <v>204</v>
      </c>
      <c r="U212" s="11" t="s">
        <v>204</v>
      </c>
      <c r="V212" s="194">
        <v>45937</v>
      </c>
    </row>
    <row r="213" spans="2:22">
      <c r="B213" s="155" t="s">
        <v>721</v>
      </c>
      <c r="C213" s="155" t="s">
        <v>432</v>
      </c>
      <c r="D213" s="155" t="s">
        <v>722</v>
      </c>
      <c r="E213" s="245">
        <v>45937</v>
      </c>
      <c r="F213" s="240" t="s">
        <v>720</v>
      </c>
      <c r="G213" s="158">
        <v>8644</v>
      </c>
      <c r="H213" s="419"/>
      <c r="I213" s="162"/>
      <c r="J213" s="144">
        <f t="shared" si="19"/>
        <v>8644</v>
      </c>
      <c r="K213" s="140"/>
      <c r="L213" s="187">
        <v>45940</v>
      </c>
      <c r="M213" s="145">
        <v>0</v>
      </c>
      <c r="N213" s="145">
        <v>0</v>
      </c>
      <c r="O213" s="140"/>
      <c r="P213" s="21">
        <v>8644</v>
      </c>
      <c r="Q213" s="50"/>
      <c r="R213" s="21"/>
      <c r="S213" s="146">
        <f t="shared" si="20"/>
        <v>0</v>
      </c>
      <c r="T213" s="21" t="s">
        <v>204</v>
      </c>
      <c r="U213" s="11" t="s">
        <v>204</v>
      </c>
      <c r="V213" s="274"/>
    </row>
    <row r="214" spans="2:22">
      <c r="B214" s="155" t="s">
        <v>250</v>
      </c>
      <c r="C214" s="155" t="s">
        <v>63</v>
      </c>
      <c r="D214" s="155" t="s">
        <v>413</v>
      </c>
      <c r="E214" s="245">
        <v>45938</v>
      </c>
      <c r="F214" s="304" t="s">
        <v>732</v>
      </c>
      <c r="G214" s="158">
        <v>11395</v>
      </c>
      <c r="H214" s="419"/>
      <c r="I214" s="162"/>
      <c r="J214" s="144">
        <f t="shared" si="19"/>
        <v>11395</v>
      </c>
      <c r="K214" s="140"/>
      <c r="L214" s="187">
        <v>45940</v>
      </c>
      <c r="M214" s="145">
        <v>0</v>
      </c>
      <c r="N214" s="145">
        <v>0</v>
      </c>
      <c r="O214" s="140"/>
      <c r="P214" s="50">
        <v>11395</v>
      </c>
      <c r="Q214" s="21"/>
      <c r="R214" s="21"/>
      <c r="S214" s="146">
        <f t="shared" si="20"/>
        <v>0</v>
      </c>
      <c r="T214" s="21" t="s">
        <v>204</v>
      </c>
      <c r="U214" s="11" t="s">
        <v>204</v>
      </c>
      <c r="V214" s="194">
        <v>45941</v>
      </c>
    </row>
    <row r="215" spans="2:22">
      <c r="B215" s="155" t="s">
        <v>738</v>
      </c>
      <c r="C215" s="155" t="s">
        <v>56</v>
      </c>
      <c r="D215" s="155" t="s">
        <v>31</v>
      </c>
      <c r="E215" s="245">
        <v>45938</v>
      </c>
      <c r="F215" s="240" t="s">
        <v>739</v>
      </c>
      <c r="G215" s="158">
        <v>4193</v>
      </c>
      <c r="H215" s="419"/>
      <c r="I215" s="162"/>
      <c r="J215" s="144">
        <f t="shared" si="19"/>
        <v>4193</v>
      </c>
      <c r="K215" s="140"/>
      <c r="L215" s="187">
        <v>45940</v>
      </c>
      <c r="M215" s="145">
        <v>0</v>
      </c>
      <c r="N215" s="145">
        <v>0</v>
      </c>
      <c r="O215" s="140"/>
      <c r="P215" s="21">
        <v>4193</v>
      </c>
      <c r="Q215" s="21"/>
      <c r="R215" s="21"/>
      <c r="S215" s="146">
        <f t="shared" si="20"/>
        <v>0</v>
      </c>
      <c r="T215" s="21" t="s">
        <v>204</v>
      </c>
      <c r="U215" s="11"/>
      <c r="V215" s="194"/>
    </row>
    <row r="216" spans="2:22">
      <c r="B216" s="155" t="s">
        <v>453</v>
      </c>
      <c r="C216" s="155" t="s">
        <v>432</v>
      </c>
      <c r="D216" s="155" t="s">
        <v>722</v>
      </c>
      <c r="E216" s="245">
        <v>45938</v>
      </c>
      <c r="F216" s="240" t="s">
        <v>744</v>
      </c>
      <c r="G216" s="158">
        <v>10021</v>
      </c>
      <c r="H216" s="419"/>
      <c r="I216" s="162"/>
      <c r="J216" s="144">
        <f t="shared" si="19"/>
        <v>10021</v>
      </c>
      <c r="K216" s="140"/>
      <c r="L216" s="187">
        <v>45943</v>
      </c>
      <c r="M216" s="145">
        <v>0</v>
      </c>
      <c r="N216" s="145">
        <v>0</v>
      </c>
      <c r="O216" s="140"/>
      <c r="P216" s="21">
        <v>10021</v>
      </c>
      <c r="Q216" s="21"/>
      <c r="R216" s="21"/>
      <c r="S216" s="146">
        <f t="shared" si="20"/>
        <v>0</v>
      </c>
      <c r="T216" s="21" t="s">
        <v>204</v>
      </c>
      <c r="U216" s="11"/>
      <c r="V216" s="274"/>
    </row>
    <row r="217" spans="2:22">
      <c r="B217" s="155" t="s">
        <v>476</v>
      </c>
      <c r="C217" s="155" t="s">
        <v>31</v>
      </c>
      <c r="D217" s="155" t="s">
        <v>128</v>
      </c>
      <c r="E217" s="186">
        <v>45939</v>
      </c>
      <c r="F217" s="156">
        <v>4260</v>
      </c>
      <c r="G217" s="161">
        <v>66050</v>
      </c>
      <c r="H217" s="419">
        <v>1981</v>
      </c>
      <c r="I217" s="162"/>
      <c r="J217" s="144">
        <f t="shared" si="19"/>
        <v>64069</v>
      </c>
      <c r="K217" s="140"/>
      <c r="L217" s="187">
        <v>45954</v>
      </c>
      <c r="M217" s="145">
        <v>0</v>
      </c>
      <c r="N217" s="145">
        <v>0</v>
      </c>
      <c r="O217" s="140"/>
      <c r="P217" s="21">
        <v>64069</v>
      </c>
      <c r="Q217" s="21"/>
      <c r="R217" s="21"/>
      <c r="S217" s="146">
        <f t="shared" si="20"/>
        <v>0</v>
      </c>
      <c r="T217" s="21" t="s">
        <v>204</v>
      </c>
      <c r="U217" s="11" t="s">
        <v>204</v>
      </c>
      <c r="V217" s="194">
        <v>45953</v>
      </c>
    </row>
    <row r="218" spans="2:22">
      <c r="B218" s="155" t="s">
        <v>516</v>
      </c>
      <c r="C218" s="155" t="s">
        <v>31</v>
      </c>
      <c r="D218" s="155" t="s">
        <v>128</v>
      </c>
      <c r="E218" s="186">
        <v>45939</v>
      </c>
      <c r="F218" s="156">
        <v>4280</v>
      </c>
      <c r="G218" s="161">
        <v>42365</v>
      </c>
      <c r="H218" s="419">
        <v>847</v>
      </c>
      <c r="I218" s="162"/>
      <c r="J218" s="144">
        <f t="shared" si="19"/>
        <v>41518</v>
      </c>
      <c r="K218" s="140"/>
      <c r="L218" s="187">
        <v>45954</v>
      </c>
      <c r="M218" s="145">
        <v>0</v>
      </c>
      <c r="N218" s="145">
        <v>0</v>
      </c>
      <c r="O218" s="140"/>
      <c r="P218" s="21">
        <v>21518</v>
      </c>
      <c r="Q218" s="50">
        <v>20000</v>
      </c>
      <c r="R218" s="21"/>
      <c r="S218" s="146">
        <f t="shared" si="20"/>
        <v>0</v>
      </c>
      <c r="T218" s="21" t="s">
        <v>204</v>
      </c>
      <c r="U218" s="11" t="s">
        <v>204</v>
      </c>
      <c r="V218" s="194">
        <v>45953</v>
      </c>
    </row>
    <row r="219" spans="2:22">
      <c r="B219" s="155" t="s">
        <v>755</v>
      </c>
      <c r="C219" s="155" t="s">
        <v>31</v>
      </c>
      <c r="D219" s="155" t="s">
        <v>128</v>
      </c>
      <c r="E219" s="186">
        <v>45939</v>
      </c>
      <c r="F219" s="156">
        <v>4270</v>
      </c>
      <c r="G219" s="161">
        <v>15774</v>
      </c>
      <c r="H219" s="419"/>
      <c r="I219" s="162"/>
      <c r="J219" s="144">
        <f t="shared" si="19"/>
        <v>15774</v>
      </c>
      <c r="K219" s="140"/>
      <c r="L219" s="187">
        <v>45954</v>
      </c>
      <c r="M219" s="145">
        <v>0</v>
      </c>
      <c r="N219" s="145">
        <v>0</v>
      </c>
      <c r="O219" s="140"/>
      <c r="P219" s="50">
        <v>15774</v>
      </c>
      <c r="Q219" s="21"/>
      <c r="R219" s="21"/>
      <c r="S219" s="146">
        <f t="shared" si="20"/>
        <v>0</v>
      </c>
      <c r="T219" s="21" t="s">
        <v>204</v>
      </c>
      <c r="U219" s="11" t="s">
        <v>204</v>
      </c>
      <c r="V219" s="194">
        <v>45940</v>
      </c>
    </row>
    <row r="220" spans="2:22">
      <c r="B220" s="155" t="s">
        <v>442</v>
      </c>
      <c r="C220" s="155" t="s">
        <v>31</v>
      </c>
      <c r="D220" s="155" t="s">
        <v>128</v>
      </c>
      <c r="E220" s="186">
        <v>45939</v>
      </c>
      <c r="F220" s="156">
        <v>4220</v>
      </c>
      <c r="G220" s="161">
        <v>109258</v>
      </c>
      <c r="H220" s="419">
        <v>3278</v>
      </c>
      <c r="I220" s="162"/>
      <c r="J220" s="144">
        <f t="shared" si="19"/>
        <v>105980</v>
      </c>
      <c r="K220" s="140"/>
      <c r="L220" s="187">
        <v>45954</v>
      </c>
      <c r="M220" s="145">
        <v>0</v>
      </c>
      <c r="N220" s="145">
        <v>0</v>
      </c>
      <c r="O220" s="140"/>
      <c r="P220" s="21">
        <v>105980</v>
      </c>
      <c r="Q220" s="21"/>
      <c r="R220" s="21"/>
      <c r="S220" s="146">
        <f t="shared" si="20"/>
        <v>0</v>
      </c>
      <c r="T220" s="21" t="s">
        <v>204</v>
      </c>
      <c r="U220" s="11" t="s">
        <v>204</v>
      </c>
      <c r="V220" s="194">
        <v>45952</v>
      </c>
    </row>
    <row r="221" spans="2:22">
      <c r="B221" s="155" t="s">
        <v>515</v>
      </c>
      <c r="C221" s="155" t="s">
        <v>31</v>
      </c>
      <c r="D221" s="155" t="s">
        <v>128</v>
      </c>
      <c r="E221" s="186">
        <v>45940</v>
      </c>
      <c r="F221" s="156">
        <v>4300</v>
      </c>
      <c r="G221" s="161">
        <v>21669</v>
      </c>
      <c r="H221" s="419">
        <v>433</v>
      </c>
      <c r="I221" s="162"/>
      <c r="J221" s="144">
        <f t="shared" si="19"/>
        <v>21236</v>
      </c>
      <c r="K221" s="140"/>
      <c r="L221" s="187">
        <v>45955</v>
      </c>
      <c r="M221" s="145">
        <v>0</v>
      </c>
      <c r="N221" s="145">
        <v>0</v>
      </c>
      <c r="O221" s="140"/>
      <c r="P221" s="21">
        <v>21236</v>
      </c>
      <c r="Q221" s="21"/>
      <c r="R221" s="21"/>
      <c r="S221" s="146">
        <f t="shared" si="20"/>
        <v>0</v>
      </c>
      <c r="T221" s="21" t="s">
        <v>204</v>
      </c>
      <c r="U221" s="11" t="s">
        <v>204</v>
      </c>
      <c r="V221" s="194">
        <v>45951</v>
      </c>
    </row>
    <row r="222" spans="2:22">
      <c r="B222" s="155" t="s">
        <v>195</v>
      </c>
      <c r="C222" s="155" t="s">
        <v>31</v>
      </c>
      <c r="D222" s="155" t="s">
        <v>128</v>
      </c>
      <c r="E222" s="186">
        <v>45940</v>
      </c>
      <c r="F222" s="156">
        <v>4330</v>
      </c>
      <c r="G222" s="161">
        <v>104841</v>
      </c>
      <c r="H222" s="419">
        <v>3145</v>
      </c>
      <c r="I222" s="162"/>
      <c r="J222" s="144">
        <f t="shared" si="19"/>
        <v>101696</v>
      </c>
      <c r="K222" s="140"/>
      <c r="L222" s="187">
        <v>45955</v>
      </c>
      <c r="M222" s="145">
        <v>0</v>
      </c>
      <c r="N222" s="145">
        <v>0</v>
      </c>
      <c r="O222" s="140"/>
      <c r="P222" s="21">
        <v>94710</v>
      </c>
      <c r="Q222" s="21">
        <v>6986</v>
      </c>
      <c r="R222" s="21"/>
      <c r="S222" s="146">
        <f t="shared" si="20"/>
        <v>0</v>
      </c>
      <c r="T222" s="21" t="s">
        <v>204</v>
      </c>
      <c r="U222" s="11" t="s">
        <v>204</v>
      </c>
      <c r="V222" s="194">
        <v>45953</v>
      </c>
    </row>
    <row r="223" spans="2:22">
      <c r="B223" s="155" t="s">
        <v>223</v>
      </c>
      <c r="C223" s="155" t="s">
        <v>31</v>
      </c>
      <c r="D223" s="155" t="s">
        <v>128</v>
      </c>
      <c r="E223" s="186">
        <v>45940</v>
      </c>
      <c r="F223" s="156">
        <v>4340</v>
      </c>
      <c r="G223" s="161">
        <v>124771</v>
      </c>
      <c r="H223" s="419">
        <v>3751</v>
      </c>
      <c r="I223" s="162"/>
      <c r="J223" s="144">
        <f t="shared" si="19"/>
        <v>121020</v>
      </c>
      <c r="K223" s="140"/>
      <c r="L223" s="187">
        <v>45955</v>
      </c>
      <c r="M223" s="145">
        <v>0</v>
      </c>
      <c r="N223" s="145">
        <v>0</v>
      </c>
      <c r="O223" s="140"/>
      <c r="P223" s="21">
        <v>121000</v>
      </c>
      <c r="Q223" s="50">
        <v>20</v>
      </c>
      <c r="R223" s="21"/>
      <c r="S223" s="146">
        <f t="shared" si="20"/>
        <v>0</v>
      </c>
      <c r="T223" s="21" t="s">
        <v>204</v>
      </c>
      <c r="U223" s="11" t="s">
        <v>204</v>
      </c>
      <c r="V223" s="194">
        <v>45952</v>
      </c>
    </row>
    <row r="224" spans="2:22">
      <c r="B224" s="155" t="s">
        <v>90</v>
      </c>
      <c r="C224" s="155" t="s">
        <v>31</v>
      </c>
      <c r="D224" s="155" t="s">
        <v>128</v>
      </c>
      <c r="E224" s="186">
        <v>45940</v>
      </c>
      <c r="F224" s="156">
        <v>4290</v>
      </c>
      <c r="G224" s="161">
        <v>22902</v>
      </c>
      <c r="H224" s="422">
        <v>2342</v>
      </c>
      <c r="I224" s="162"/>
      <c r="J224" s="144">
        <f t="shared" si="19"/>
        <v>20560</v>
      </c>
      <c r="K224" s="140"/>
      <c r="L224" s="187">
        <v>45955</v>
      </c>
      <c r="M224" s="145">
        <v>0</v>
      </c>
      <c r="N224" s="145">
        <v>0</v>
      </c>
      <c r="O224" s="140"/>
      <c r="P224" s="50">
        <v>20560</v>
      </c>
      <c r="Q224" s="21"/>
      <c r="R224" s="21"/>
      <c r="S224" s="146">
        <f t="shared" si="20"/>
        <v>0</v>
      </c>
      <c r="T224" s="21" t="s">
        <v>204</v>
      </c>
      <c r="U224" s="11" t="s">
        <v>204</v>
      </c>
      <c r="V224" s="194">
        <v>45952</v>
      </c>
    </row>
    <row r="225" spans="2:22">
      <c r="B225" s="155" t="s">
        <v>774</v>
      </c>
      <c r="C225" s="155" t="s">
        <v>31</v>
      </c>
      <c r="D225" s="155" t="s">
        <v>128</v>
      </c>
      <c r="E225" s="186">
        <v>45940</v>
      </c>
      <c r="F225" s="240" t="s">
        <v>775</v>
      </c>
      <c r="G225" s="161">
        <v>171918</v>
      </c>
      <c r="H225" s="422">
        <v>5418</v>
      </c>
      <c r="I225" s="162"/>
      <c r="J225" s="144">
        <f t="shared" si="19"/>
        <v>166500</v>
      </c>
      <c r="K225" s="140"/>
      <c r="L225" s="187">
        <v>45955</v>
      </c>
      <c r="M225" s="145">
        <v>0</v>
      </c>
      <c r="N225" s="145">
        <v>0</v>
      </c>
      <c r="O225" s="140"/>
      <c r="P225" s="21">
        <v>166500</v>
      </c>
      <c r="Q225" s="21"/>
      <c r="R225" s="21"/>
      <c r="S225" s="146">
        <f t="shared" si="20"/>
        <v>0</v>
      </c>
      <c r="T225" s="21" t="s">
        <v>204</v>
      </c>
      <c r="U225" s="11" t="s">
        <v>204</v>
      </c>
      <c r="V225" s="194">
        <v>45952</v>
      </c>
    </row>
    <row r="226" spans="2:22">
      <c r="B226" s="155" t="s">
        <v>777</v>
      </c>
      <c r="C226" s="155" t="s">
        <v>31</v>
      </c>
      <c r="D226" s="155" t="s">
        <v>128</v>
      </c>
      <c r="E226" s="186">
        <v>45940</v>
      </c>
      <c r="F226" s="240" t="s">
        <v>776</v>
      </c>
      <c r="G226" s="155">
        <v>199</v>
      </c>
      <c r="H226" s="419"/>
      <c r="I226" s="162"/>
      <c r="J226" s="144">
        <f t="shared" si="19"/>
        <v>199</v>
      </c>
      <c r="K226" s="140"/>
      <c r="L226" s="187">
        <v>45955</v>
      </c>
      <c r="M226" s="145">
        <v>0</v>
      </c>
      <c r="N226" s="145">
        <v>0</v>
      </c>
      <c r="O226" s="140"/>
      <c r="P226" s="21">
        <v>199</v>
      </c>
      <c r="Q226" s="21"/>
      <c r="R226" s="21"/>
      <c r="S226" s="146">
        <f t="shared" si="20"/>
        <v>0</v>
      </c>
      <c r="T226" s="21" t="s">
        <v>204</v>
      </c>
      <c r="U226" s="11" t="s">
        <v>204</v>
      </c>
      <c r="V226" s="194">
        <v>45948</v>
      </c>
    </row>
    <row r="227" spans="2:22">
      <c r="B227" s="155" t="s">
        <v>43</v>
      </c>
      <c r="C227" s="155" t="s">
        <v>31</v>
      </c>
      <c r="D227" s="155" t="s">
        <v>128</v>
      </c>
      <c r="E227" s="186">
        <v>45941</v>
      </c>
      <c r="F227" s="156">
        <v>4450</v>
      </c>
      <c r="G227" s="161">
        <v>466463</v>
      </c>
      <c r="H227" s="419">
        <v>18658</v>
      </c>
      <c r="I227" s="162">
        <v>4665</v>
      </c>
      <c r="J227" s="144">
        <f t="shared" ref="J227:J236" si="22">+G227-H227-I227</f>
        <v>443140</v>
      </c>
      <c r="K227" s="140"/>
      <c r="L227" s="187">
        <v>45956</v>
      </c>
      <c r="M227" s="145">
        <v>0</v>
      </c>
      <c r="N227" s="145">
        <v>0</v>
      </c>
      <c r="O227" s="140"/>
      <c r="P227" s="50">
        <v>100000</v>
      </c>
      <c r="Q227" s="50">
        <v>43140</v>
      </c>
      <c r="R227" s="50">
        <v>300000</v>
      </c>
      <c r="S227" s="146">
        <f t="shared" ref="S227:S236" si="23">+J227-SUM(P227:R227)</f>
        <v>0</v>
      </c>
      <c r="T227" s="21" t="s">
        <v>204</v>
      </c>
      <c r="U227" s="11" t="s">
        <v>204</v>
      </c>
      <c r="V227" s="194">
        <v>45959</v>
      </c>
    </row>
    <row r="228" spans="2:22">
      <c r="B228" s="155" t="s">
        <v>157</v>
      </c>
      <c r="C228" s="155" t="s">
        <v>31</v>
      </c>
      <c r="D228" s="155" t="s">
        <v>128</v>
      </c>
      <c r="E228" s="186">
        <v>45941</v>
      </c>
      <c r="F228" s="156">
        <v>4440</v>
      </c>
      <c r="G228" s="161">
        <v>100432</v>
      </c>
      <c r="H228" s="419">
        <v>3013</v>
      </c>
      <c r="I228" s="162"/>
      <c r="J228" s="144">
        <f t="shared" si="22"/>
        <v>97419</v>
      </c>
      <c r="K228" s="140"/>
      <c r="L228" s="187">
        <v>45956</v>
      </c>
      <c r="M228" s="145">
        <v>0</v>
      </c>
      <c r="N228" s="145">
        <v>0</v>
      </c>
      <c r="O228" s="140"/>
      <c r="P228" s="21">
        <v>87420</v>
      </c>
      <c r="Q228" s="50">
        <v>9999</v>
      </c>
      <c r="R228" s="21"/>
      <c r="S228" s="146">
        <f t="shared" si="23"/>
        <v>0</v>
      </c>
      <c r="T228" s="21" t="s">
        <v>204</v>
      </c>
      <c r="U228" s="11" t="s">
        <v>204</v>
      </c>
      <c r="V228" s="194">
        <v>45952</v>
      </c>
    </row>
    <row r="229" spans="2:22">
      <c r="B229" s="155" t="s">
        <v>484</v>
      </c>
      <c r="C229" s="155" t="s">
        <v>31</v>
      </c>
      <c r="D229" s="155" t="s">
        <v>128</v>
      </c>
      <c r="E229" s="186">
        <v>45941</v>
      </c>
      <c r="F229" s="156">
        <v>4390</v>
      </c>
      <c r="G229" s="161">
        <v>92147</v>
      </c>
      <c r="H229" s="419"/>
      <c r="I229" s="162"/>
      <c r="J229" s="144">
        <f t="shared" si="22"/>
        <v>92147</v>
      </c>
      <c r="K229" s="140"/>
      <c r="L229" s="187">
        <v>45956</v>
      </c>
      <c r="M229" s="145">
        <v>0</v>
      </c>
      <c r="N229" s="145">
        <v>0</v>
      </c>
      <c r="O229" s="140"/>
      <c r="P229" s="50">
        <v>92147</v>
      </c>
      <c r="Q229" s="21"/>
      <c r="R229" s="21"/>
      <c r="S229" s="146">
        <f t="shared" si="23"/>
        <v>0</v>
      </c>
      <c r="T229" s="21" t="s">
        <v>204</v>
      </c>
      <c r="U229" s="11" t="s">
        <v>204</v>
      </c>
      <c r="V229" s="187">
        <v>45966</v>
      </c>
    </row>
    <row r="230" spans="2:22">
      <c r="B230" s="155" t="s">
        <v>533</v>
      </c>
      <c r="C230" s="155" t="s">
        <v>63</v>
      </c>
      <c r="D230" s="155" t="s">
        <v>64</v>
      </c>
      <c r="E230" s="186">
        <v>45943</v>
      </c>
      <c r="F230" s="156">
        <v>33970</v>
      </c>
      <c r="G230" s="161">
        <v>10001</v>
      </c>
      <c r="H230" s="419"/>
      <c r="I230" s="162"/>
      <c r="J230" s="144">
        <f t="shared" si="22"/>
        <v>10001</v>
      </c>
      <c r="K230" s="140"/>
      <c r="L230" s="187">
        <v>45948</v>
      </c>
      <c r="M230" s="145">
        <v>0</v>
      </c>
      <c r="N230" s="145">
        <v>0</v>
      </c>
      <c r="O230" s="140"/>
      <c r="P230" s="21">
        <v>10001</v>
      </c>
      <c r="Q230" s="21"/>
      <c r="R230" s="21"/>
      <c r="S230" s="146">
        <f t="shared" si="23"/>
        <v>0</v>
      </c>
      <c r="T230" s="21" t="s">
        <v>204</v>
      </c>
      <c r="U230" s="11" t="s">
        <v>204</v>
      </c>
      <c r="V230" s="194">
        <v>45950</v>
      </c>
    </row>
    <row r="231" spans="2:22">
      <c r="B231" s="155" t="s">
        <v>789</v>
      </c>
      <c r="C231" s="155" t="s">
        <v>63</v>
      </c>
      <c r="D231" s="155" t="s">
        <v>64</v>
      </c>
      <c r="E231" s="186">
        <v>45943</v>
      </c>
      <c r="F231" s="156">
        <v>33960</v>
      </c>
      <c r="G231" s="161">
        <v>25912</v>
      </c>
      <c r="H231" s="419"/>
      <c r="I231" s="162"/>
      <c r="J231" s="144">
        <f t="shared" si="22"/>
        <v>25912</v>
      </c>
      <c r="K231" s="140"/>
      <c r="L231" s="187">
        <v>45948</v>
      </c>
      <c r="M231" s="145">
        <v>0</v>
      </c>
      <c r="N231" s="145">
        <v>0</v>
      </c>
      <c r="O231" s="140"/>
      <c r="P231" s="21">
        <v>25912</v>
      </c>
      <c r="Q231" s="21"/>
      <c r="R231" s="21"/>
      <c r="S231" s="146">
        <f t="shared" si="23"/>
        <v>0</v>
      </c>
      <c r="T231" s="21" t="s">
        <v>204</v>
      </c>
      <c r="U231" s="11" t="s">
        <v>204</v>
      </c>
      <c r="V231" s="274"/>
    </row>
    <row r="232" spans="2:22">
      <c r="B232" s="155" t="s">
        <v>790</v>
      </c>
      <c r="C232" s="155" t="s">
        <v>31</v>
      </c>
      <c r="D232" s="155" t="s">
        <v>128</v>
      </c>
      <c r="E232" s="186">
        <v>45943</v>
      </c>
      <c r="F232" s="156">
        <v>4500</v>
      </c>
      <c r="G232" s="161">
        <v>71888</v>
      </c>
      <c r="H232" s="419">
        <v>1438</v>
      </c>
      <c r="I232" s="162"/>
      <c r="J232" s="144">
        <f t="shared" si="22"/>
        <v>70450</v>
      </c>
      <c r="K232" s="140"/>
      <c r="L232" s="187">
        <v>45958</v>
      </c>
      <c r="M232" s="145">
        <v>0</v>
      </c>
      <c r="N232" s="145">
        <v>0</v>
      </c>
      <c r="O232" s="140"/>
      <c r="P232" s="21">
        <v>70450</v>
      </c>
      <c r="Q232" s="21"/>
      <c r="R232" s="21"/>
      <c r="S232" s="146">
        <f t="shared" si="23"/>
        <v>0</v>
      </c>
      <c r="T232" s="21" t="s">
        <v>204</v>
      </c>
      <c r="U232" s="11" t="s">
        <v>204</v>
      </c>
      <c r="V232" s="194">
        <v>45948</v>
      </c>
    </row>
    <row r="233" spans="2:22">
      <c r="B233" s="155" t="s">
        <v>791</v>
      </c>
      <c r="C233" s="155" t="s">
        <v>31</v>
      </c>
      <c r="D233" s="155" t="s">
        <v>128</v>
      </c>
      <c r="E233" s="186">
        <v>45943</v>
      </c>
      <c r="F233" s="156">
        <v>4490</v>
      </c>
      <c r="G233" s="161">
        <v>18237</v>
      </c>
      <c r="H233" s="419">
        <v>365</v>
      </c>
      <c r="I233" s="162"/>
      <c r="J233" s="144">
        <f t="shared" si="22"/>
        <v>17872</v>
      </c>
      <c r="K233" s="140"/>
      <c r="L233" s="187">
        <v>45958</v>
      </c>
      <c r="M233" s="145">
        <v>0</v>
      </c>
      <c r="N233" s="145">
        <v>0</v>
      </c>
      <c r="O233" s="140"/>
      <c r="P233" s="21">
        <v>17872</v>
      </c>
      <c r="Q233" s="50"/>
      <c r="R233" s="21"/>
      <c r="S233" s="146">
        <f t="shared" si="23"/>
        <v>0</v>
      </c>
      <c r="T233" s="21" t="s">
        <v>204</v>
      </c>
      <c r="U233" s="11" t="s">
        <v>204</v>
      </c>
      <c r="V233" s="194">
        <v>45950</v>
      </c>
    </row>
    <row r="234" spans="2:22">
      <c r="B234" s="155" t="s">
        <v>817</v>
      </c>
      <c r="C234" s="155" t="s">
        <v>63</v>
      </c>
      <c r="D234" s="155" t="s">
        <v>64</v>
      </c>
      <c r="E234" s="186">
        <v>45944</v>
      </c>
      <c r="F234" s="304" t="s">
        <v>818</v>
      </c>
      <c r="G234" s="161">
        <v>5916</v>
      </c>
      <c r="H234" s="419"/>
      <c r="I234" s="162"/>
      <c r="J234" s="144">
        <f t="shared" si="22"/>
        <v>5916</v>
      </c>
      <c r="K234" s="140"/>
      <c r="L234" s="187">
        <v>45947</v>
      </c>
      <c r="M234" s="145">
        <v>0</v>
      </c>
      <c r="N234" s="145">
        <v>0</v>
      </c>
      <c r="O234" s="140"/>
      <c r="P234" s="50">
        <v>5916</v>
      </c>
      <c r="Q234" s="21"/>
      <c r="R234" s="21"/>
      <c r="S234" s="146">
        <f t="shared" si="23"/>
        <v>0</v>
      </c>
      <c r="T234" s="21" t="s">
        <v>204</v>
      </c>
      <c r="U234" s="11" t="s">
        <v>204</v>
      </c>
      <c r="V234" s="194">
        <v>45950</v>
      </c>
    </row>
    <row r="235" spans="2:22">
      <c r="B235" s="155" t="s">
        <v>839</v>
      </c>
      <c r="C235" s="155" t="s">
        <v>48</v>
      </c>
      <c r="D235" s="155" t="s">
        <v>26</v>
      </c>
      <c r="E235" s="186">
        <v>45945</v>
      </c>
      <c r="F235" s="240" t="s">
        <v>840</v>
      </c>
      <c r="G235" s="161">
        <v>5488</v>
      </c>
      <c r="H235" s="419"/>
      <c r="I235" s="162"/>
      <c r="J235" s="144">
        <f t="shared" si="22"/>
        <v>5488</v>
      </c>
      <c r="K235" s="140"/>
      <c r="L235" s="187">
        <v>45947</v>
      </c>
      <c r="M235" s="145">
        <v>0</v>
      </c>
      <c r="N235" s="145">
        <v>0</v>
      </c>
      <c r="O235" s="140"/>
      <c r="P235" s="21">
        <v>5488</v>
      </c>
      <c r="Q235" s="21"/>
      <c r="R235" s="21"/>
      <c r="S235" s="146">
        <f t="shared" si="23"/>
        <v>0</v>
      </c>
      <c r="T235" s="21" t="s">
        <v>204</v>
      </c>
      <c r="U235" s="11" t="s">
        <v>204</v>
      </c>
      <c r="V235" s="194"/>
    </row>
    <row r="236" spans="2:22">
      <c r="B236" s="155" t="s">
        <v>844</v>
      </c>
      <c r="C236" s="155" t="s">
        <v>48</v>
      </c>
      <c r="D236" s="155" t="s">
        <v>26</v>
      </c>
      <c r="E236" s="186">
        <v>45945</v>
      </c>
      <c r="F236" s="240" t="s">
        <v>845</v>
      </c>
      <c r="G236" s="161">
        <v>4343</v>
      </c>
      <c r="H236" s="419"/>
      <c r="I236" s="162"/>
      <c r="J236" s="144">
        <f t="shared" si="22"/>
        <v>4343</v>
      </c>
      <c r="K236" s="140"/>
      <c r="L236" s="187">
        <v>45947</v>
      </c>
      <c r="M236" s="145">
        <v>0</v>
      </c>
      <c r="N236" s="145">
        <v>0</v>
      </c>
      <c r="O236" s="140"/>
      <c r="P236" s="21">
        <v>4343</v>
      </c>
      <c r="Q236" s="21"/>
      <c r="R236" s="21"/>
      <c r="S236" s="146">
        <f t="shared" si="23"/>
        <v>0</v>
      </c>
      <c r="T236" s="21" t="s">
        <v>204</v>
      </c>
      <c r="U236" s="11" t="s">
        <v>204</v>
      </c>
      <c r="V236" s="274"/>
    </row>
    <row r="237" spans="2:22">
      <c r="B237" s="155" t="s">
        <v>844</v>
      </c>
      <c r="C237" s="155" t="s">
        <v>56</v>
      </c>
      <c r="D237" s="155" t="s">
        <v>31</v>
      </c>
      <c r="E237" s="186">
        <v>45945</v>
      </c>
      <c r="F237" s="240" t="s">
        <v>846</v>
      </c>
      <c r="G237" s="155">
        <v>7964</v>
      </c>
      <c r="H237" s="419"/>
      <c r="I237" s="162"/>
      <c r="J237" s="144">
        <f t="shared" ref="J237:J241" si="24">+G237-H237-I237</f>
        <v>7964</v>
      </c>
      <c r="K237" s="140"/>
      <c r="L237" s="187">
        <v>45947</v>
      </c>
      <c r="M237" s="145">
        <v>0</v>
      </c>
      <c r="N237" s="145">
        <v>0</v>
      </c>
      <c r="O237" s="140"/>
      <c r="P237" s="21">
        <v>7964</v>
      </c>
      <c r="Q237" s="21"/>
      <c r="R237" s="21"/>
      <c r="S237" s="146">
        <f t="shared" ref="S237:S241" si="25">+J237-SUM(P237:R237)</f>
        <v>0</v>
      </c>
      <c r="T237" s="21" t="s">
        <v>204</v>
      </c>
      <c r="U237" s="11" t="s">
        <v>204</v>
      </c>
      <c r="V237" s="194"/>
    </row>
    <row r="238" spans="2:22">
      <c r="B238" s="155" t="s">
        <v>853</v>
      </c>
      <c r="C238" s="155" t="s">
        <v>31</v>
      </c>
      <c r="D238" s="155" t="s">
        <v>128</v>
      </c>
      <c r="E238" s="186">
        <v>45946</v>
      </c>
      <c r="F238" s="240" t="s">
        <v>854</v>
      </c>
      <c r="G238" s="155">
        <v>790542</v>
      </c>
      <c r="H238" s="419">
        <v>23716</v>
      </c>
      <c r="I238" s="162">
        <v>15810</v>
      </c>
      <c r="J238" s="144">
        <f t="shared" si="24"/>
        <v>751016</v>
      </c>
      <c r="K238" s="140"/>
      <c r="L238" s="141">
        <v>45960</v>
      </c>
      <c r="M238" s="145">
        <v>0</v>
      </c>
      <c r="N238" s="145">
        <v>0</v>
      </c>
      <c r="O238" s="140"/>
      <c r="P238" s="21">
        <v>207000</v>
      </c>
      <c r="Q238" s="50">
        <v>363020</v>
      </c>
      <c r="R238" s="21">
        <v>180996</v>
      </c>
      <c r="S238" s="146">
        <f t="shared" si="25"/>
        <v>0</v>
      </c>
      <c r="T238" s="21" t="s">
        <v>204</v>
      </c>
      <c r="U238" s="11" t="s">
        <v>204</v>
      </c>
      <c r="V238" s="194">
        <v>45950</v>
      </c>
    </row>
    <row r="239" spans="2:22">
      <c r="B239" s="155" t="s">
        <v>855</v>
      </c>
      <c r="C239" s="155" t="s">
        <v>31</v>
      </c>
      <c r="D239" s="155" t="s">
        <v>128</v>
      </c>
      <c r="E239" s="186">
        <v>45946</v>
      </c>
      <c r="F239" s="156">
        <v>4610</v>
      </c>
      <c r="G239" s="161">
        <v>108481</v>
      </c>
      <c r="H239" s="419">
        <f>3254+227</f>
        <v>3481</v>
      </c>
      <c r="I239" s="162"/>
      <c r="J239" s="144">
        <f t="shared" si="24"/>
        <v>105000</v>
      </c>
      <c r="K239" s="140"/>
      <c r="L239" s="141">
        <v>45960</v>
      </c>
      <c r="M239" s="145">
        <v>0</v>
      </c>
      <c r="N239" s="145">
        <v>0</v>
      </c>
      <c r="O239" s="140"/>
      <c r="P239" s="50">
        <v>105000</v>
      </c>
      <c r="Q239" s="21"/>
      <c r="R239" s="21"/>
      <c r="S239" s="146">
        <f t="shared" si="25"/>
        <v>0</v>
      </c>
      <c r="T239" s="21" t="s">
        <v>204</v>
      </c>
      <c r="U239" s="11" t="s">
        <v>204</v>
      </c>
      <c r="V239" s="187">
        <v>45967</v>
      </c>
    </row>
    <row r="240" spans="2:22">
      <c r="B240" s="155" t="s">
        <v>264</v>
      </c>
      <c r="C240" s="155" t="s">
        <v>31</v>
      </c>
      <c r="D240" s="155" t="s">
        <v>128</v>
      </c>
      <c r="E240" s="186">
        <v>45946</v>
      </c>
      <c r="F240" s="156">
        <v>4540</v>
      </c>
      <c r="G240" s="161">
        <v>31719</v>
      </c>
      <c r="H240" s="419">
        <v>634</v>
      </c>
      <c r="I240" s="162"/>
      <c r="J240" s="144">
        <f t="shared" si="24"/>
        <v>31085</v>
      </c>
      <c r="K240" s="140"/>
      <c r="L240" s="141">
        <v>45960</v>
      </c>
      <c r="M240" s="145">
        <v>0</v>
      </c>
      <c r="N240" s="145">
        <v>0</v>
      </c>
      <c r="O240" s="140"/>
      <c r="P240" s="21">
        <v>31085</v>
      </c>
      <c r="Q240" s="21"/>
      <c r="R240" s="21"/>
      <c r="S240" s="146">
        <f t="shared" si="25"/>
        <v>0</v>
      </c>
      <c r="T240" s="21" t="s">
        <v>204</v>
      </c>
      <c r="U240" s="11" t="s">
        <v>204</v>
      </c>
      <c r="V240" s="194">
        <v>45951</v>
      </c>
    </row>
    <row r="241" spans="2:22">
      <c r="B241" s="155" t="s">
        <v>856</v>
      </c>
      <c r="C241" s="155" t="s">
        <v>31</v>
      </c>
      <c r="D241" s="155" t="s">
        <v>128</v>
      </c>
      <c r="E241" s="186">
        <v>45946</v>
      </c>
      <c r="F241" s="156">
        <v>4560</v>
      </c>
      <c r="G241" s="161">
        <v>38866</v>
      </c>
      <c r="H241" s="419">
        <v>1176</v>
      </c>
      <c r="I241" s="162"/>
      <c r="J241" s="144">
        <f t="shared" si="24"/>
        <v>37690</v>
      </c>
      <c r="K241" s="140"/>
      <c r="L241" s="141">
        <v>45960</v>
      </c>
      <c r="M241" s="145">
        <v>0</v>
      </c>
      <c r="N241" s="145">
        <v>0</v>
      </c>
      <c r="O241" s="140"/>
      <c r="P241" s="21">
        <v>8860</v>
      </c>
      <c r="Q241" s="21">
        <v>10000</v>
      </c>
      <c r="R241" s="21">
        <v>18830</v>
      </c>
      <c r="S241" s="146">
        <f t="shared" si="25"/>
        <v>0</v>
      </c>
      <c r="T241" s="21" t="s">
        <v>204</v>
      </c>
      <c r="U241" s="11" t="s">
        <v>204</v>
      </c>
      <c r="V241" s="187">
        <v>45967</v>
      </c>
    </row>
    <row r="242" spans="2:22">
      <c r="B242" s="11" t="s">
        <v>857</v>
      </c>
      <c r="C242" s="30" t="s">
        <v>31</v>
      </c>
      <c r="D242" s="30" t="s">
        <v>128</v>
      </c>
      <c r="E242" s="345">
        <v>45946</v>
      </c>
      <c r="F242" s="78">
        <v>4580</v>
      </c>
      <c r="G242" s="99">
        <v>10083</v>
      </c>
      <c r="H242" s="340"/>
      <c r="I242" s="154"/>
      <c r="J242" s="144">
        <f t="shared" ref="J242:J249" si="26">+G242-H242-I242</f>
        <v>10083</v>
      </c>
      <c r="K242" s="140"/>
      <c r="L242" s="141">
        <v>45960</v>
      </c>
      <c r="M242" s="145">
        <f ca="1">+$A$1-E242</f>
        <v>44</v>
      </c>
      <c r="N242" s="145">
        <f ca="1">$A$1-L242</f>
        <v>30</v>
      </c>
      <c r="O242" s="140"/>
      <c r="P242" s="21"/>
      <c r="Q242" s="21"/>
      <c r="R242" s="21"/>
      <c r="S242" s="146">
        <f t="shared" ref="S242:S246" si="27">+J242-SUM(P242:R242)</f>
        <v>10083</v>
      </c>
      <c r="T242" s="21"/>
      <c r="U242" s="11" t="s">
        <v>128</v>
      </c>
      <c r="V242" s="194"/>
    </row>
    <row r="243" spans="2:22">
      <c r="B243" s="155" t="s">
        <v>262</v>
      </c>
      <c r="C243" s="155" t="s">
        <v>31</v>
      </c>
      <c r="D243" s="155" t="s">
        <v>128</v>
      </c>
      <c r="E243" s="186">
        <v>45946</v>
      </c>
      <c r="F243" s="156">
        <v>4530</v>
      </c>
      <c r="G243" s="161">
        <v>24929</v>
      </c>
      <c r="H243" s="419"/>
      <c r="I243" s="162"/>
      <c r="J243" s="144">
        <f t="shared" si="26"/>
        <v>24929</v>
      </c>
      <c r="K243" s="140"/>
      <c r="L243" s="141">
        <v>45960</v>
      </c>
      <c r="M243" s="145">
        <v>0</v>
      </c>
      <c r="N243" s="145">
        <v>0</v>
      </c>
      <c r="O243" s="140"/>
      <c r="P243" s="21">
        <v>24929</v>
      </c>
      <c r="Q243" s="50"/>
      <c r="R243" s="21"/>
      <c r="S243" s="146">
        <f t="shared" si="27"/>
        <v>0</v>
      </c>
      <c r="T243" s="21"/>
      <c r="U243" s="11" t="s">
        <v>204</v>
      </c>
      <c r="V243" s="187">
        <v>45973</v>
      </c>
    </row>
    <row r="244" spans="2:22">
      <c r="B244" s="155" t="s">
        <v>437</v>
      </c>
      <c r="C244" s="155" t="s">
        <v>56</v>
      </c>
      <c r="D244" s="155" t="s">
        <v>31</v>
      </c>
      <c r="E244" s="186">
        <v>45946</v>
      </c>
      <c r="F244" s="156">
        <v>34590</v>
      </c>
      <c r="G244" s="161">
        <v>7046</v>
      </c>
      <c r="H244" s="419"/>
      <c r="I244" s="162"/>
      <c r="J244" s="144">
        <f t="shared" si="26"/>
        <v>7046</v>
      </c>
      <c r="K244" s="140"/>
      <c r="L244" s="141">
        <v>45960</v>
      </c>
      <c r="M244" s="145">
        <v>0</v>
      </c>
      <c r="N244" s="145">
        <v>0</v>
      </c>
      <c r="O244" s="140"/>
      <c r="P244" s="50">
        <v>7046</v>
      </c>
      <c r="Q244" s="21"/>
      <c r="R244" s="21"/>
      <c r="S244" s="146">
        <f t="shared" si="27"/>
        <v>0</v>
      </c>
      <c r="T244" s="21" t="s">
        <v>204</v>
      </c>
      <c r="U244" s="11" t="s">
        <v>204</v>
      </c>
      <c r="V244" s="194">
        <v>45953</v>
      </c>
    </row>
    <row r="245" spans="2:22">
      <c r="B245" s="155" t="s">
        <v>554</v>
      </c>
      <c r="C245" s="155" t="s">
        <v>56</v>
      </c>
      <c r="D245" s="155" t="s">
        <v>31</v>
      </c>
      <c r="E245" s="186">
        <v>45946</v>
      </c>
      <c r="F245" s="156">
        <v>34920</v>
      </c>
      <c r="G245" s="161">
        <v>4001</v>
      </c>
      <c r="H245" s="419"/>
      <c r="I245" s="162"/>
      <c r="J245" s="144">
        <f t="shared" si="26"/>
        <v>4001</v>
      </c>
      <c r="K245" s="140"/>
      <c r="L245" s="141">
        <v>45960</v>
      </c>
      <c r="M245" s="145">
        <v>0</v>
      </c>
      <c r="N245" s="145">
        <v>0</v>
      </c>
      <c r="O245" s="140"/>
      <c r="P245" s="21">
        <v>4001</v>
      </c>
      <c r="Q245" s="21"/>
      <c r="R245" s="21"/>
      <c r="S245" s="146">
        <f t="shared" si="27"/>
        <v>0</v>
      </c>
      <c r="T245" s="21" t="s">
        <v>204</v>
      </c>
      <c r="U245" s="11" t="s">
        <v>204</v>
      </c>
      <c r="V245" s="194">
        <v>45948</v>
      </c>
    </row>
    <row r="246" spans="2:22">
      <c r="B246" s="155" t="s">
        <v>881</v>
      </c>
      <c r="C246" s="155" t="s">
        <v>31</v>
      </c>
      <c r="D246" s="155" t="s">
        <v>128</v>
      </c>
      <c r="E246" s="186">
        <v>45947</v>
      </c>
      <c r="F246" s="156">
        <v>4650</v>
      </c>
      <c r="G246" s="161">
        <v>110252</v>
      </c>
      <c r="H246" s="419">
        <v>3308</v>
      </c>
      <c r="I246" s="162"/>
      <c r="J246" s="144">
        <f t="shared" si="26"/>
        <v>106944</v>
      </c>
      <c r="K246" s="140"/>
      <c r="L246" s="141">
        <v>45962</v>
      </c>
      <c r="M246" s="145">
        <v>0</v>
      </c>
      <c r="N246" s="145">
        <v>0</v>
      </c>
      <c r="O246" s="140"/>
      <c r="P246" s="21">
        <v>48000</v>
      </c>
      <c r="Q246" s="21">
        <v>58944</v>
      </c>
      <c r="R246" s="21"/>
      <c r="S246" s="146">
        <f t="shared" si="27"/>
        <v>0</v>
      </c>
      <c r="T246" s="21" t="s">
        <v>204</v>
      </c>
      <c r="U246" s="11" t="s">
        <v>204</v>
      </c>
      <c r="V246" s="194">
        <v>45953</v>
      </c>
    </row>
    <row r="247" spans="2:22">
      <c r="B247" s="155" t="s">
        <v>882</v>
      </c>
      <c r="C247" s="155" t="s">
        <v>31</v>
      </c>
      <c r="D247" s="155" t="s">
        <v>128</v>
      </c>
      <c r="E247" s="186">
        <v>45947</v>
      </c>
      <c r="F247" s="156">
        <v>4640</v>
      </c>
      <c r="G247" s="161">
        <v>86597</v>
      </c>
      <c r="H247" s="419">
        <v>2597</v>
      </c>
      <c r="I247" s="162"/>
      <c r="J247" s="144">
        <f t="shared" si="26"/>
        <v>84000</v>
      </c>
      <c r="K247" s="140"/>
      <c r="L247" s="141">
        <v>45962</v>
      </c>
      <c r="M247" s="145">
        <v>0</v>
      </c>
      <c r="N247" s="145">
        <v>0</v>
      </c>
      <c r="O247" s="140"/>
      <c r="P247" s="50">
        <v>84000</v>
      </c>
      <c r="Q247" s="21"/>
      <c r="R247" s="21"/>
      <c r="S247" s="146">
        <f t="shared" ref="S247:S249" si="28">+J247-SUM(P247:R247)</f>
        <v>0</v>
      </c>
      <c r="T247" s="21" t="s">
        <v>204</v>
      </c>
      <c r="U247" s="11" t="s">
        <v>204</v>
      </c>
      <c r="V247" s="194">
        <v>45948</v>
      </c>
    </row>
    <row r="248" spans="2:22">
      <c r="B248" s="155" t="s">
        <v>883</v>
      </c>
      <c r="C248" s="155" t="s">
        <v>31</v>
      </c>
      <c r="D248" s="155" t="s">
        <v>128</v>
      </c>
      <c r="E248" s="186">
        <v>45947</v>
      </c>
      <c r="F248" s="156">
        <v>4680</v>
      </c>
      <c r="G248" s="161">
        <v>47445</v>
      </c>
      <c r="H248" s="419"/>
      <c r="I248" s="162"/>
      <c r="J248" s="144">
        <f t="shared" si="26"/>
        <v>47445</v>
      </c>
      <c r="K248" s="140"/>
      <c r="L248" s="141">
        <v>45962</v>
      </c>
      <c r="M248" s="145">
        <v>0</v>
      </c>
      <c r="N248" s="145">
        <v>0</v>
      </c>
      <c r="O248" s="140"/>
      <c r="P248" s="21">
        <v>47445</v>
      </c>
      <c r="Q248" s="21"/>
      <c r="R248" s="21"/>
      <c r="S248" s="146">
        <f t="shared" si="28"/>
        <v>0</v>
      </c>
      <c r="T248" s="21" t="s">
        <v>204</v>
      </c>
      <c r="U248" s="11" t="s">
        <v>204</v>
      </c>
      <c r="V248" s="187">
        <v>45967</v>
      </c>
    </row>
    <row r="249" spans="2:22">
      <c r="B249" s="155" t="s">
        <v>884</v>
      </c>
      <c r="C249" s="155" t="s">
        <v>31</v>
      </c>
      <c r="D249" s="155" t="s">
        <v>128</v>
      </c>
      <c r="E249" s="186">
        <v>45947</v>
      </c>
      <c r="F249" s="156">
        <v>4670</v>
      </c>
      <c r="G249" s="161">
        <v>82655</v>
      </c>
      <c r="H249" s="419">
        <v>2480</v>
      </c>
      <c r="I249" s="162"/>
      <c r="J249" s="144">
        <f t="shared" si="26"/>
        <v>80175</v>
      </c>
      <c r="K249" s="140"/>
      <c r="L249" s="141">
        <v>45962</v>
      </c>
      <c r="M249" s="145">
        <v>0</v>
      </c>
      <c r="N249" s="145">
        <v>0</v>
      </c>
      <c r="O249" s="140"/>
      <c r="P249" s="21">
        <v>80175</v>
      </c>
      <c r="Q249" s="21"/>
      <c r="R249" s="21"/>
      <c r="S249" s="146">
        <f t="shared" si="28"/>
        <v>0</v>
      </c>
      <c r="T249" s="21" t="s">
        <v>204</v>
      </c>
      <c r="U249" s="11" t="s">
        <v>204</v>
      </c>
      <c r="V249" s="187">
        <v>45960</v>
      </c>
    </row>
    <row r="250" spans="2:22">
      <c r="B250" s="155" t="s">
        <v>774</v>
      </c>
      <c r="C250" s="155" t="s">
        <v>31</v>
      </c>
      <c r="D250" s="155" t="s">
        <v>128</v>
      </c>
      <c r="E250" s="186">
        <v>45947</v>
      </c>
      <c r="F250" s="156">
        <v>4660</v>
      </c>
      <c r="G250" s="161">
        <v>122979</v>
      </c>
      <c r="H250" s="419">
        <v>3689</v>
      </c>
      <c r="I250" s="162"/>
      <c r="J250" s="144">
        <f t="shared" ref="J250:J265" si="29">+G250-H250-I250</f>
        <v>119290</v>
      </c>
      <c r="K250" s="140"/>
      <c r="L250" s="141">
        <v>45962</v>
      </c>
      <c r="M250" s="145">
        <v>0</v>
      </c>
      <c r="N250" s="145">
        <v>0</v>
      </c>
      <c r="O250" s="140"/>
      <c r="P250" s="21">
        <v>106000</v>
      </c>
      <c r="Q250" s="21">
        <v>13290</v>
      </c>
      <c r="R250" s="21"/>
      <c r="S250" s="146">
        <f t="shared" ref="S250:S254" si="30">+J250-SUM(P250:R250)</f>
        <v>0</v>
      </c>
      <c r="T250" s="21" t="s">
        <v>204</v>
      </c>
      <c r="U250" s="11" t="s">
        <v>204</v>
      </c>
      <c r="V250" s="187">
        <v>45973</v>
      </c>
    </row>
    <row r="251" spans="2:22">
      <c r="B251" s="155" t="s">
        <v>894</v>
      </c>
      <c r="C251" s="155" t="s">
        <v>31</v>
      </c>
      <c r="D251" s="155" t="s">
        <v>128</v>
      </c>
      <c r="E251" s="157">
        <v>45948</v>
      </c>
      <c r="F251" s="156">
        <v>4720</v>
      </c>
      <c r="G251" s="161">
        <v>130001</v>
      </c>
      <c r="H251" s="419">
        <v>3901</v>
      </c>
      <c r="I251" s="162"/>
      <c r="J251" s="144">
        <f t="shared" si="29"/>
        <v>126100</v>
      </c>
      <c r="K251" s="140"/>
      <c r="L251" s="141">
        <v>45963</v>
      </c>
      <c r="M251" s="145">
        <v>0</v>
      </c>
      <c r="N251" s="145">
        <v>0</v>
      </c>
      <c r="O251" s="140"/>
      <c r="P251" s="21">
        <v>40000</v>
      </c>
      <c r="Q251" s="50">
        <v>20000</v>
      </c>
      <c r="R251" s="50">
        <f>20000+20000+26100</f>
        <v>66100</v>
      </c>
      <c r="S251" s="146">
        <f t="shared" si="30"/>
        <v>0</v>
      </c>
      <c r="T251" s="21" t="s">
        <v>204</v>
      </c>
      <c r="U251" s="11" t="s">
        <v>204</v>
      </c>
      <c r="V251" s="187">
        <v>45975</v>
      </c>
    </row>
    <row r="252" spans="2:22">
      <c r="B252" s="155" t="s">
        <v>895</v>
      </c>
      <c r="C252" s="155" t="s">
        <v>31</v>
      </c>
      <c r="D252" s="155" t="s">
        <v>128</v>
      </c>
      <c r="E252" s="157">
        <v>45948</v>
      </c>
      <c r="F252" s="156">
        <v>4710</v>
      </c>
      <c r="G252" s="161">
        <v>15575</v>
      </c>
      <c r="H252" s="419">
        <v>311</v>
      </c>
      <c r="I252" s="162"/>
      <c r="J252" s="144">
        <f t="shared" si="29"/>
        <v>15264</v>
      </c>
      <c r="K252" s="140"/>
      <c r="L252" s="141">
        <v>45963</v>
      </c>
      <c r="M252" s="145">
        <v>0</v>
      </c>
      <c r="N252" s="145">
        <v>0</v>
      </c>
      <c r="O252" s="140"/>
      <c r="P252" s="50">
        <v>10000</v>
      </c>
      <c r="Q252" s="21">
        <v>5264</v>
      </c>
      <c r="R252" s="21"/>
      <c r="S252" s="146">
        <f t="shared" si="30"/>
        <v>0</v>
      </c>
      <c r="T252" s="21" t="s">
        <v>204</v>
      </c>
      <c r="U252" s="11" t="s">
        <v>204</v>
      </c>
      <c r="V252" s="187">
        <v>45962</v>
      </c>
    </row>
    <row r="253" spans="2:22">
      <c r="B253" s="155" t="s">
        <v>896</v>
      </c>
      <c r="C253" s="155" t="s">
        <v>31</v>
      </c>
      <c r="D253" s="155" t="s">
        <v>128</v>
      </c>
      <c r="E253" s="157">
        <v>45948</v>
      </c>
      <c r="F253" s="156">
        <v>4700</v>
      </c>
      <c r="G253" s="161">
        <v>5239</v>
      </c>
      <c r="H253" s="419">
        <v>104</v>
      </c>
      <c r="I253" s="162"/>
      <c r="J253" s="144">
        <f t="shared" si="29"/>
        <v>5135</v>
      </c>
      <c r="K253" s="140"/>
      <c r="L253" s="141">
        <v>45963</v>
      </c>
      <c r="M253" s="145">
        <v>0</v>
      </c>
      <c r="N253" s="145">
        <v>0</v>
      </c>
      <c r="O253" s="140"/>
      <c r="P253" s="21">
        <v>5135</v>
      </c>
      <c r="Q253" s="21"/>
      <c r="R253" s="21"/>
      <c r="S253" s="146">
        <f t="shared" si="30"/>
        <v>0</v>
      </c>
      <c r="T253" s="21" t="s">
        <v>204</v>
      </c>
      <c r="U253" s="11" t="s">
        <v>204</v>
      </c>
      <c r="V253" s="187">
        <v>45971</v>
      </c>
    </row>
    <row r="254" spans="2:22">
      <c r="B254" s="155" t="s">
        <v>157</v>
      </c>
      <c r="C254" s="155" t="s">
        <v>31</v>
      </c>
      <c r="D254" s="155" t="s">
        <v>128</v>
      </c>
      <c r="E254" s="157">
        <v>45948</v>
      </c>
      <c r="F254" s="156">
        <v>4690</v>
      </c>
      <c r="G254" s="161">
        <v>81320</v>
      </c>
      <c r="H254" s="419">
        <v>2440</v>
      </c>
      <c r="I254" s="162"/>
      <c r="J254" s="144">
        <f t="shared" si="29"/>
        <v>78880</v>
      </c>
      <c r="K254" s="140"/>
      <c r="L254" s="141">
        <v>45963</v>
      </c>
      <c r="M254" s="145">
        <v>0</v>
      </c>
      <c r="N254" s="145">
        <v>0</v>
      </c>
      <c r="O254" s="140"/>
      <c r="P254" s="21">
        <v>78880</v>
      </c>
      <c r="Q254" s="21"/>
      <c r="R254" s="21"/>
      <c r="S254" s="146">
        <f t="shared" si="30"/>
        <v>0</v>
      </c>
      <c r="T254" s="21" t="s">
        <v>204</v>
      </c>
      <c r="U254" s="11" t="s">
        <v>204</v>
      </c>
      <c r="V254" s="187">
        <v>45958</v>
      </c>
    </row>
    <row r="255" spans="2:22">
      <c r="B255" s="155" t="s">
        <v>43</v>
      </c>
      <c r="C255" s="155" t="s">
        <v>31</v>
      </c>
      <c r="D255" s="155" t="s">
        <v>128</v>
      </c>
      <c r="E255" s="157">
        <v>45948</v>
      </c>
      <c r="F255" s="156">
        <v>4730</v>
      </c>
      <c r="G255" s="161">
        <v>365475</v>
      </c>
      <c r="H255" s="419">
        <v>10970</v>
      </c>
      <c r="I255" s="162">
        <v>3655</v>
      </c>
      <c r="J255" s="144">
        <f t="shared" si="29"/>
        <v>350850</v>
      </c>
      <c r="K255" s="140"/>
      <c r="L255" s="141">
        <v>45963</v>
      </c>
      <c r="M255" s="145">
        <v>0</v>
      </c>
      <c r="N255" s="145">
        <v>0</v>
      </c>
      <c r="O255" s="140"/>
      <c r="P255" s="50">
        <v>100000</v>
      </c>
      <c r="Q255" s="21">
        <v>74950</v>
      </c>
      <c r="R255" s="21">
        <v>175900</v>
      </c>
      <c r="S255" s="146">
        <f t="shared" ref="S255:S257" si="31">+J255-SUM(P255:R255)</f>
        <v>0</v>
      </c>
      <c r="T255" s="21" t="s">
        <v>204</v>
      </c>
      <c r="U255" s="11" t="s">
        <v>204</v>
      </c>
      <c r="V255" s="187">
        <v>45969</v>
      </c>
    </row>
    <row r="256" spans="2:22">
      <c r="B256" s="155" t="s">
        <v>897</v>
      </c>
      <c r="C256" s="155" t="s">
        <v>432</v>
      </c>
      <c r="D256" s="155" t="s">
        <v>390</v>
      </c>
      <c r="E256" s="157">
        <v>45948</v>
      </c>
      <c r="F256" s="156">
        <v>35170</v>
      </c>
      <c r="G256" s="161">
        <v>9279</v>
      </c>
      <c r="H256" s="419"/>
      <c r="I256" s="162"/>
      <c r="J256" s="144">
        <f t="shared" si="29"/>
        <v>9279</v>
      </c>
      <c r="K256" s="140"/>
      <c r="L256" s="187">
        <v>45950</v>
      </c>
      <c r="M256" s="145">
        <v>0</v>
      </c>
      <c r="N256" s="145">
        <v>0</v>
      </c>
      <c r="O256" s="140"/>
      <c r="P256" s="21">
        <v>9279</v>
      </c>
      <c r="Q256" s="21"/>
      <c r="R256" s="21"/>
      <c r="S256" s="146">
        <f t="shared" si="31"/>
        <v>0</v>
      </c>
      <c r="T256" s="21" t="s">
        <v>204</v>
      </c>
      <c r="U256" s="11" t="s">
        <v>204</v>
      </c>
      <c r="V256" s="187">
        <v>45958</v>
      </c>
    </row>
    <row r="257" spans="1:22">
      <c r="B257" s="155" t="s">
        <v>451</v>
      </c>
      <c r="C257" s="155" t="s">
        <v>31</v>
      </c>
      <c r="D257" s="155" t="s">
        <v>128</v>
      </c>
      <c r="E257" s="157">
        <v>45950</v>
      </c>
      <c r="F257" s="156">
        <v>4780</v>
      </c>
      <c r="G257" s="161">
        <v>103014</v>
      </c>
      <c r="H257" s="419">
        <v>3090</v>
      </c>
      <c r="I257" s="162"/>
      <c r="J257" s="144">
        <f t="shared" si="29"/>
        <v>99924</v>
      </c>
      <c r="K257" s="140"/>
      <c r="L257" s="141">
        <v>45965</v>
      </c>
      <c r="M257" s="145">
        <v>0</v>
      </c>
      <c r="N257" s="145">
        <v>0</v>
      </c>
      <c r="O257" s="140"/>
      <c r="P257" s="21">
        <v>83000</v>
      </c>
      <c r="Q257" s="21">
        <v>16924</v>
      </c>
      <c r="R257" s="21"/>
      <c r="S257" s="146">
        <f t="shared" si="31"/>
        <v>0</v>
      </c>
      <c r="T257" s="21" t="s">
        <v>204</v>
      </c>
      <c r="U257" s="11" t="s">
        <v>204</v>
      </c>
      <c r="V257" s="187">
        <v>45961</v>
      </c>
    </row>
    <row r="258" spans="1:22">
      <c r="B258" s="155" t="s">
        <v>41</v>
      </c>
      <c r="C258" s="155" t="s">
        <v>31</v>
      </c>
      <c r="D258" s="155" t="s">
        <v>128</v>
      </c>
      <c r="E258" s="157">
        <v>45950</v>
      </c>
      <c r="F258" s="156">
        <v>4800</v>
      </c>
      <c r="G258" s="301">
        <v>854049</v>
      </c>
      <c r="H258" s="419">
        <v>25621</v>
      </c>
      <c r="I258" s="162">
        <v>17081</v>
      </c>
      <c r="J258" s="144">
        <f t="shared" si="29"/>
        <v>811347</v>
      </c>
      <c r="K258" s="140"/>
      <c r="L258" s="141">
        <v>45965</v>
      </c>
      <c r="M258" s="145">
        <v>0</v>
      </c>
      <c r="N258" s="145">
        <v>0</v>
      </c>
      <c r="O258" s="140"/>
      <c r="P258" s="50">
        <v>200000</v>
      </c>
      <c r="Q258" s="50">
        <v>100000</v>
      </c>
      <c r="R258" s="21">
        <v>511347</v>
      </c>
      <c r="S258" s="146">
        <f t="shared" ref="S258:S262" si="32">+J258-SUM(P258:R258)</f>
        <v>0</v>
      </c>
      <c r="T258" s="21" t="s">
        <v>204</v>
      </c>
      <c r="U258" s="11" t="s">
        <v>1017</v>
      </c>
      <c r="V258" s="187">
        <v>45955</v>
      </c>
    </row>
    <row r="259" spans="1:22">
      <c r="B259" s="155" t="s">
        <v>233</v>
      </c>
      <c r="C259" s="155" t="s">
        <v>31</v>
      </c>
      <c r="D259" s="155" t="s">
        <v>128</v>
      </c>
      <c r="E259" s="157">
        <v>45950</v>
      </c>
      <c r="F259" s="156">
        <v>4770</v>
      </c>
      <c r="G259" s="301">
        <v>11268</v>
      </c>
      <c r="H259" s="419"/>
      <c r="I259" s="162"/>
      <c r="J259" s="144">
        <f t="shared" si="29"/>
        <v>11268</v>
      </c>
      <c r="K259" s="140"/>
      <c r="L259" s="141">
        <v>45965</v>
      </c>
      <c r="M259" s="145">
        <v>0</v>
      </c>
      <c r="N259" s="145">
        <v>0</v>
      </c>
      <c r="O259" s="140"/>
      <c r="P259" s="21">
        <v>4710</v>
      </c>
      <c r="Q259" s="50">
        <v>869</v>
      </c>
      <c r="R259" s="344">
        <v>5689</v>
      </c>
      <c r="S259" s="146">
        <f t="shared" si="32"/>
        <v>0</v>
      </c>
      <c r="T259" s="21" t="s">
        <v>204</v>
      </c>
      <c r="U259" s="11" t="s">
        <v>1017</v>
      </c>
      <c r="V259" s="187">
        <v>45973</v>
      </c>
    </row>
    <row r="260" spans="1:22">
      <c r="B260" s="155" t="s">
        <v>149</v>
      </c>
      <c r="C260" s="155" t="s">
        <v>31</v>
      </c>
      <c r="D260" s="155" t="s">
        <v>128</v>
      </c>
      <c r="E260" s="157">
        <v>45950</v>
      </c>
      <c r="F260" s="156">
        <v>4790</v>
      </c>
      <c r="G260" s="301">
        <v>18207</v>
      </c>
      <c r="H260" s="419"/>
      <c r="I260" s="162"/>
      <c r="J260" s="144">
        <f t="shared" si="29"/>
        <v>18207</v>
      </c>
      <c r="K260" s="140"/>
      <c r="L260" s="141">
        <v>45965</v>
      </c>
      <c r="M260" s="145">
        <v>0</v>
      </c>
      <c r="N260" s="145">
        <v>0</v>
      </c>
      <c r="O260" s="140"/>
      <c r="P260" s="50">
        <v>18207</v>
      </c>
      <c r="Q260" s="21"/>
      <c r="R260" s="21"/>
      <c r="S260" s="146">
        <f t="shared" si="32"/>
        <v>0</v>
      </c>
      <c r="T260" s="21" t="s">
        <v>204</v>
      </c>
      <c r="U260" s="21" t="s">
        <v>204</v>
      </c>
      <c r="V260" s="187">
        <v>45962</v>
      </c>
    </row>
    <row r="261" spans="1:22">
      <c r="B261" s="155" t="s">
        <v>533</v>
      </c>
      <c r="C261" s="155" t="s">
        <v>936</v>
      </c>
      <c r="D261" s="155" t="s">
        <v>32</v>
      </c>
      <c r="E261" s="157">
        <v>45950</v>
      </c>
      <c r="F261" s="240" t="s">
        <v>937</v>
      </c>
      <c r="G261" s="158">
        <v>5058</v>
      </c>
      <c r="H261" s="419"/>
      <c r="I261" s="162"/>
      <c r="J261" s="144">
        <f t="shared" si="29"/>
        <v>5058</v>
      </c>
      <c r="K261" s="140"/>
      <c r="L261" s="187">
        <v>45954</v>
      </c>
      <c r="M261" s="145">
        <v>0</v>
      </c>
      <c r="N261" s="145">
        <v>0</v>
      </c>
      <c r="O261" s="140"/>
      <c r="P261" s="21">
        <v>5058</v>
      </c>
      <c r="Q261" s="21"/>
      <c r="R261" s="21"/>
      <c r="S261" s="146">
        <f t="shared" si="32"/>
        <v>0</v>
      </c>
      <c r="T261" s="21" t="s">
        <v>204</v>
      </c>
      <c r="U261" s="21" t="s">
        <v>204</v>
      </c>
      <c r="V261" s="187">
        <v>45957</v>
      </c>
    </row>
    <row r="262" spans="1:22">
      <c r="B262" s="155" t="s">
        <v>789</v>
      </c>
      <c r="C262" s="155" t="s">
        <v>936</v>
      </c>
      <c r="D262" s="155" t="s">
        <v>32</v>
      </c>
      <c r="E262" s="157">
        <v>45950</v>
      </c>
      <c r="F262" s="240" t="s">
        <v>938</v>
      </c>
      <c r="G262" s="158">
        <v>11052</v>
      </c>
      <c r="H262" s="419"/>
      <c r="I262" s="162"/>
      <c r="J262" s="144">
        <f t="shared" si="29"/>
        <v>11052</v>
      </c>
      <c r="K262" s="140"/>
      <c r="L262" s="187">
        <v>45954</v>
      </c>
      <c r="M262" s="145">
        <v>0</v>
      </c>
      <c r="N262" s="145">
        <v>0</v>
      </c>
      <c r="O262" s="140"/>
      <c r="P262" s="21">
        <v>11052</v>
      </c>
      <c r="Q262" s="21"/>
      <c r="R262" s="21"/>
      <c r="S262" s="146">
        <f t="shared" si="32"/>
        <v>0</v>
      </c>
      <c r="T262" s="21" t="s">
        <v>204</v>
      </c>
      <c r="U262" s="21" t="s">
        <v>204</v>
      </c>
      <c r="V262" s="187">
        <v>45957</v>
      </c>
    </row>
    <row r="263" spans="1:22">
      <c r="B263" s="155" t="s">
        <v>957</v>
      </c>
      <c r="C263" s="155" t="s">
        <v>48</v>
      </c>
      <c r="D263" s="155" t="s">
        <v>26</v>
      </c>
      <c r="E263" s="157">
        <v>45952</v>
      </c>
      <c r="F263" s="304" t="s">
        <v>958</v>
      </c>
      <c r="G263" s="158">
        <v>12991</v>
      </c>
      <c r="H263" s="419"/>
      <c r="I263" s="162"/>
      <c r="J263" s="144">
        <f t="shared" si="29"/>
        <v>12991</v>
      </c>
      <c r="K263" s="140"/>
      <c r="L263" s="187">
        <v>45950</v>
      </c>
      <c r="M263" s="145">
        <v>0</v>
      </c>
      <c r="N263" s="145">
        <v>0</v>
      </c>
      <c r="O263" s="140"/>
      <c r="P263" s="50">
        <v>12991</v>
      </c>
      <c r="Q263" s="21"/>
      <c r="R263" s="21"/>
      <c r="S263" s="146">
        <f t="shared" ref="S263:S265" si="33">+J263-SUM(P263:R263)</f>
        <v>0</v>
      </c>
      <c r="T263" s="21" t="s">
        <v>204</v>
      </c>
      <c r="U263" s="21" t="s">
        <v>204</v>
      </c>
      <c r="V263" s="187">
        <v>45954</v>
      </c>
    </row>
    <row r="264" spans="1:22">
      <c r="A264" s="38"/>
      <c r="B264" s="155" t="s">
        <v>961</v>
      </c>
      <c r="C264" s="155" t="s">
        <v>936</v>
      </c>
      <c r="D264" s="155" t="s">
        <v>32</v>
      </c>
      <c r="E264" s="157">
        <v>45952</v>
      </c>
      <c r="F264" s="156">
        <v>37450</v>
      </c>
      <c r="G264" s="161">
        <v>6904</v>
      </c>
      <c r="H264" s="419"/>
      <c r="I264" s="162"/>
      <c r="J264" s="144">
        <f t="shared" si="29"/>
        <v>6904</v>
      </c>
      <c r="K264" s="140"/>
      <c r="L264" s="141">
        <v>45968</v>
      </c>
      <c r="M264" s="145">
        <v>0</v>
      </c>
      <c r="N264" s="145">
        <v>0</v>
      </c>
      <c r="O264" s="140"/>
      <c r="P264" s="21">
        <v>6904</v>
      </c>
      <c r="Q264" s="21"/>
      <c r="R264" s="21"/>
      <c r="S264" s="146">
        <f t="shared" si="33"/>
        <v>0</v>
      </c>
      <c r="T264" s="21" t="s">
        <v>204</v>
      </c>
      <c r="U264" s="21" t="s">
        <v>204</v>
      </c>
      <c r="V264" s="187">
        <v>45954</v>
      </c>
    </row>
    <row r="265" spans="1:22">
      <c r="B265" s="155" t="s">
        <v>968</v>
      </c>
      <c r="C265" s="155" t="s">
        <v>31</v>
      </c>
      <c r="D265" s="155" t="s">
        <v>128</v>
      </c>
      <c r="E265" s="157">
        <v>45953</v>
      </c>
      <c r="F265" s="156">
        <v>4920</v>
      </c>
      <c r="G265" s="161">
        <v>21564</v>
      </c>
      <c r="H265" s="422">
        <v>1431</v>
      </c>
      <c r="I265" s="162"/>
      <c r="J265" s="144">
        <f t="shared" si="29"/>
        <v>20133</v>
      </c>
      <c r="K265" s="140"/>
      <c r="L265" s="141">
        <v>45968</v>
      </c>
      <c r="M265" s="145">
        <v>0</v>
      </c>
      <c r="N265" s="145">
        <v>0</v>
      </c>
      <c r="O265" s="140"/>
      <c r="P265" s="21">
        <v>20133</v>
      </c>
      <c r="Q265" s="21"/>
      <c r="R265" s="21"/>
      <c r="S265" s="146">
        <f t="shared" si="33"/>
        <v>0</v>
      </c>
      <c r="T265" s="21" t="s">
        <v>204</v>
      </c>
      <c r="U265" s="11" t="s">
        <v>204</v>
      </c>
      <c r="V265" s="187">
        <v>45960</v>
      </c>
    </row>
    <row r="266" spans="1:22">
      <c r="B266" s="155" t="s">
        <v>305</v>
      </c>
      <c r="C266" s="155" t="s">
        <v>31</v>
      </c>
      <c r="D266" s="155" t="s">
        <v>128</v>
      </c>
      <c r="E266" s="157">
        <v>45953</v>
      </c>
      <c r="F266" s="156">
        <v>4890</v>
      </c>
      <c r="G266" s="161">
        <v>18225</v>
      </c>
      <c r="H266" s="419">
        <v>545</v>
      </c>
      <c r="I266" s="162"/>
      <c r="J266" s="144">
        <f t="shared" ref="J266:J279" si="34">+G266-H266-I266</f>
        <v>17680</v>
      </c>
      <c r="K266" s="140"/>
      <c r="L266" s="141">
        <v>45968</v>
      </c>
      <c r="M266" s="145">
        <v>0</v>
      </c>
      <c r="N266" s="145">
        <v>0</v>
      </c>
      <c r="O266" s="140"/>
      <c r="P266" s="21">
        <v>17680</v>
      </c>
      <c r="Q266" s="21"/>
      <c r="R266" s="21"/>
      <c r="S266" s="146">
        <f t="shared" ref="S266:S279" si="35">+J266-SUM(P266:R266)</f>
        <v>0</v>
      </c>
      <c r="T266" s="21" t="s">
        <v>204</v>
      </c>
      <c r="U266" s="11" t="s">
        <v>204</v>
      </c>
      <c r="V266" s="187">
        <v>45960</v>
      </c>
    </row>
    <row r="267" spans="1:22">
      <c r="B267" s="155" t="s">
        <v>969</v>
      </c>
      <c r="C267" s="155" t="s">
        <v>31</v>
      </c>
      <c r="D267" s="155" t="s">
        <v>128</v>
      </c>
      <c r="E267" s="157">
        <v>45953</v>
      </c>
      <c r="F267" s="156">
        <v>4910</v>
      </c>
      <c r="G267" s="161">
        <v>34357</v>
      </c>
      <c r="H267" s="419">
        <v>1031</v>
      </c>
      <c r="I267" s="162"/>
      <c r="J267" s="144">
        <f t="shared" si="34"/>
        <v>33326</v>
      </c>
      <c r="K267" s="140"/>
      <c r="L267" s="141">
        <v>45968</v>
      </c>
      <c r="M267" s="145">
        <v>0</v>
      </c>
      <c r="N267" s="145">
        <v>0</v>
      </c>
      <c r="O267" s="140"/>
      <c r="P267" s="21">
        <v>33326</v>
      </c>
      <c r="Q267" s="50"/>
      <c r="R267" s="21"/>
      <c r="S267" s="146">
        <f t="shared" si="35"/>
        <v>0</v>
      </c>
      <c r="T267" s="21" t="s">
        <v>204</v>
      </c>
      <c r="U267" s="11" t="s">
        <v>204</v>
      </c>
      <c r="V267" s="187">
        <v>45959</v>
      </c>
    </row>
    <row r="268" spans="1:22">
      <c r="B268" s="155" t="s">
        <v>442</v>
      </c>
      <c r="C268" s="155" t="s">
        <v>31</v>
      </c>
      <c r="D268" s="155" t="s">
        <v>128</v>
      </c>
      <c r="E268" s="157">
        <v>45953</v>
      </c>
      <c r="F268" s="156">
        <v>4850</v>
      </c>
      <c r="G268" s="161">
        <v>33765</v>
      </c>
      <c r="H268" s="419">
        <v>675</v>
      </c>
      <c r="I268" s="162"/>
      <c r="J268" s="144">
        <f t="shared" si="34"/>
        <v>33090</v>
      </c>
      <c r="K268" s="140"/>
      <c r="L268" s="141">
        <v>45968</v>
      </c>
      <c r="M268" s="145">
        <v>0</v>
      </c>
      <c r="N268" s="145">
        <v>0</v>
      </c>
      <c r="O268" s="140"/>
      <c r="P268" s="50">
        <v>33090</v>
      </c>
      <c r="Q268" s="21"/>
      <c r="R268" s="21"/>
      <c r="S268" s="146">
        <f t="shared" si="35"/>
        <v>0</v>
      </c>
      <c r="T268" s="21" t="s">
        <v>204</v>
      </c>
      <c r="U268" s="11" t="s">
        <v>204</v>
      </c>
      <c r="V268" s="187">
        <v>45960</v>
      </c>
    </row>
    <row r="269" spans="1:22">
      <c r="B269" s="155" t="s">
        <v>970</v>
      </c>
      <c r="C269" s="155" t="s">
        <v>31</v>
      </c>
      <c r="D269" s="155" t="s">
        <v>128</v>
      </c>
      <c r="E269" s="157">
        <v>45953</v>
      </c>
      <c r="F269" s="156">
        <v>4900</v>
      </c>
      <c r="G269" s="161">
        <v>93159</v>
      </c>
      <c r="H269" s="419"/>
      <c r="I269" s="162"/>
      <c r="J269" s="144">
        <f t="shared" si="34"/>
        <v>93159</v>
      </c>
      <c r="K269" s="140"/>
      <c r="L269" s="141">
        <v>45968</v>
      </c>
      <c r="M269" s="145">
        <v>0</v>
      </c>
      <c r="N269" s="145">
        <v>0</v>
      </c>
      <c r="O269" s="140"/>
      <c r="P269" s="21">
        <v>93159</v>
      </c>
      <c r="Q269" s="21"/>
      <c r="R269" s="21"/>
      <c r="S269" s="146">
        <f t="shared" si="35"/>
        <v>0</v>
      </c>
      <c r="T269" s="21" t="s">
        <v>204</v>
      </c>
      <c r="U269" s="11" t="s">
        <v>204</v>
      </c>
      <c r="V269" s="187">
        <v>45960</v>
      </c>
    </row>
    <row r="270" spans="1:22">
      <c r="B270" s="163" t="s">
        <v>979</v>
      </c>
      <c r="C270" s="155" t="s">
        <v>56</v>
      </c>
      <c r="D270" s="155" t="s">
        <v>31</v>
      </c>
      <c r="E270" s="157">
        <v>45953</v>
      </c>
      <c r="F270" s="240" t="s">
        <v>981</v>
      </c>
      <c r="G270" s="158">
        <v>5409</v>
      </c>
      <c r="H270" s="419"/>
      <c r="I270" s="162"/>
      <c r="J270" s="144">
        <f t="shared" si="34"/>
        <v>5409</v>
      </c>
      <c r="K270" s="140"/>
      <c r="L270" s="187">
        <v>45955</v>
      </c>
      <c r="M270" s="145">
        <v>0</v>
      </c>
      <c r="N270" s="145">
        <v>0</v>
      </c>
      <c r="O270" s="140"/>
      <c r="P270" s="21">
        <v>409</v>
      </c>
      <c r="Q270" s="21">
        <v>5000</v>
      </c>
      <c r="R270" s="21"/>
      <c r="S270" s="146">
        <f t="shared" si="35"/>
        <v>0</v>
      </c>
      <c r="T270" s="21" t="s">
        <v>204</v>
      </c>
      <c r="U270" s="11" t="s">
        <v>204</v>
      </c>
      <c r="V270" s="187">
        <v>45954</v>
      </c>
    </row>
    <row r="271" spans="1:22">
      <c r="B271" s="163" t="s">
        <v>437</v>
      </c>
      <c r="C271" s="181" t="s">
        <v>56</v>
      </c>
      <c r="D271" s="181" t="s">
        <v>31</v>
      </c>
      <c r="E271" s="204">
        <v>45953</v>
      </c>
      <c r="F271" s="303" t="s">
        <v>980</v>
      </c>
      <c r="G271" s="409">
        <v>14723</v>
      </c>
      <c r="H271" s="421"/>
      <c r="I271" s="162"/>
      <c r="J271" s="144">
        <f t="shared" si="34"/>
        <v>14723</v>
      </c>
      <c r="K271" s="140"/>
      <c r="L271" s="187">
        <v>45955</v>
      </c>
      <c r="M271" s="145">
        <v>0</v>
      </c>
      <c r="N271" s="145">
        <v>0</v>
      </c>
      <c r="O271" s="140"/>
      <c r="P271" s="21">
        <v>14723</v>
      </c>
      <c r="Q271" s="21"/>
      <c r="R271" s="21"/>
      <c r="S271" s="146">
        <f t="shared" si="35"/>
        <v>0</v>
      </c>
      <c r="T271" s="21" t="s">
        <v>204</v>
      </c>
      <c r="U271" s="11" t="s">
        <v>204</v>
      </c>
      <c r="V271" s="187">
        <v>45959</v>
      </c>
    </row>
    <row r="272" spans="1:22">
      <c r="B272" s="155" t="s">
        <v>1000</v>
      </c>
      <c r="C272" s="155" t="s">
        <v>63</v>
      </c>
      <c r="D272" s="155" t="s">
        <v>64</v>
      </c>
      <c r="E272" s="245">
        <v>45954</v>
      </c>
      <c r="F272" s="240" t="s">
        <v>1001</v>
      </c>
      <c r="G272" s="158">
        <v>3584</v>
      </c>
      <c r="H272" s="419"/>
      <c r="I272" s="162"/>
      <c r="J272" s="144">
        <f t="shared" si="34"/>
        <v>3584</v>
      </c>
      <c r="K272" s="140"/>
      <c r="L272" s="187">
        <v>45955</v>
      </c>
      <c r="M272" s="145">
        <v>0</v>
      </c>
      <c r="N272" s="145">
        <v>0</v>
      </c>
      <c r="O272" s="140"/>
      <c r="P272" s="21">
        <v>3584</v>
      </c>
      <c r="Q272" s="21"/>
      <c r="R272" s="21"/>
      <c r="S272" s="146">
        <f t="shared" si="35"/>
        <v>0</v>
      </c>
      <c r="T272" s="21" t="s">
        <v>204</v>
      </c>
      <c r="U272" s="11" t="s">
        <v>204</v>
      </c>
      <c r="V272" s="187">
        <v>45954</v>
      </c>
    </row>
    <row r="273" spans="2:22">
      <c r="B273" s="155" t="s">
        <v>883</v>
      </c>
      <c r="C273" s="155" t="s">
        <v>31</v>
      </c>
      <c r="D273" s="155" t="s">
        <v>128</v>
      </c>
      <c r="E273" s="245">
        <v>45954</v>
      </c>
      <c r="F273" s="156">
        <v>4990</v>
      </c>
      <c r="G273" s="161">
        <v>28529</v>
      </c>
      <c r="H273" s="419"/>
      <c r="I273" s="162"/>
      <c r="J273" s="144">
        <f t="shared" si="34"/>
        <v>28529</v>
      </c>
      <c r="K273" s="140"/>
      <c r="L273" s="141">
        <v>45969</v>
      </c>
      <c r="M273" s="145">
        <v>0</v>
      </c>
      <c r="N273" s="145">
        <v>0</v>
      </c>
      <c r="O273" s="140"/>
      <c r="P273" s="21">
        <v>28529</v>
      </c>
      <c r="Q273" s="50"/>
      <c r="R273" s="21"/>
      <c r="S273" s="146">
        <f t="shared" si="35"/>
        <v>0</v>
      </c>
      <c r="T273" s="21" t="s">
        <v>204</v>
      </c>
      <c r="U273" s="11" t="s">
        <v>204</v>
      </c>
      <c r="V273" s="187">
        <v>45967</v>
      </c>
    </row>
    <row r="274" spans="2:22">
      <c r="B274" s="155" t="s">
        <v>194</v>
      </c>
      <c r="C274" s="155" t="s">
        <v>31</v>
      </c>
      <c r="D274" s="155" t="s">
        <v>128</v>
      </c>
      <c r="E274" s="245">
        <v>45954</v>
      </c>
      <c r="F274" s="156">
        <v>4930</v>
      </c>
      <c r="G274" s="161">
        <v>27001</v>
      </c>
      <c r="H274" s="419">
        <v>1001</v>
      </c>
      <c r="I274" s="162"/>
      <c r="J274" s="144">
        <f t="shared" si="34"/>
        <v>26000</v>
      </c>
      <c r="K274" s="140"/>
      <c r="L274" s="141">
        <v>45969</v>
      </c>
      <c r="M274" s="145">
        <v>0</v>
      </c>
      <c r="N274" s="145">
        <v>0</v>
      </c>
      <c r="O274" s="140"/>
      <c r="P274" s="50">
        <v>26000</v>
      </c>
      <c r="Q274" s="21"/>
      <c r="R274" s="21"/>
      <c r="S274" s="146">
        <f t="shared" si="35"/>
        <v>0</v>
      </c>
      <c r="T274" s="21" t="s">
        <v>204</v>
      </c>
      <c r="U274" s="11" t="s">
        <v>204</v>
      </c>
      <c r="V274" s="187">
        <v>45960</v>
      </c>
    </row>
    <row r="275" spans="2:22">
      <c r="B275" s="155" t="s">
        <v>223</v>
      </c>
      <c r="C275" s="155" t="s">
        <v>31</v>
      </c>
      <c r="D275" s="155" t="s">
        <v>128</v>
      </c>
      <c r="E275" s="245">
        <v>45954</v>
      </c>
      <c r="F275" s="156">
        <v>4960</v>
      </c>
      <c r="G275" s="161">
        <v>57922</v>
      </c>
      <c r="H275" s="419">
        <v>1738</v>
      </c>
      <c r="I275" s="162"/>
      <c r="J275" s="144">
        <f t="shared" si="34"/>
        <v>56184</v>
      </c>
      <c r="K275" s="140"/>
      <c r="L275" s="141">
        <v>45969</v>
      </c>
      <c r="M275" s="145">
        <v>0</v>
      </c>
      <c r="N275" s="145">
        <v>0</v>
      </c>
      <c r="O275" s="140"/>
      <c r="P275" s="21">
        <v>56184</v>
      </c>
      <c r="Q275" s="21"/>
      <c r="R275" s="21"/>
      <c r="S275" s="146">
        <f t="shared" si="35"/>
        <v>0</v>
      </c>
      <c r="T275" s="21" t="s">
        <v>204</v>
      </c>
      <c r="U275" s="11" t="s">
        <v>204</v>
      </c>
      <c r="V275" s="187">
        <v>45960</v>
      </c>
    </row>
    <row r="276" spans="2:22">
      <c r="B276" s="155" t="s">
        <v>195</v>
      </c>
      <c r="C276" s="155" t="s">
        <v>31</v>
      </c>
      <c r="D276" s="155" t="s">
        <v>128</v>
      </c>
      <c r="E276" s="245">
        <v>45954</v>
      </c>
      <c r="F276" s="156">
        <v>4950</v>
      </c>
      <c r="G276" s="161">
        <v>280409</v>
      </c>
      <c r="H276" s="419">
        <v>7847</v>
      </c>
      <c r="I276" s="162"/>
      <c r="J276" s="144">
        <f t="shared" si="34"/>
        <v>272562</v>
      </c>
      <c r="K276" s="140"/>
      <c r="L276" s="141">
        <v>45969</v>
      </c>
      <c r="M276" s="145">
        <v>0</v>
      </c>
      <c r="N276" s="145">
        <v>0</v>
      </c>
      <c r="O276" s="140"/>
      <c r="P276" s="21">
        <v>92380</v>
      </c>
      <c r="Q276" s="21">
        <v>104970</v>
      </c>
      <c r="R276" s="21">
        <v>75212</v>
      </c>
      <c r="S276" s="146">
        <f t="shared" si="35"/>
        <v>0</v>
      </c>
      <c r="T276" s="21" t="s">
        <v>204</v>
      </c>
      <c r="U276" s="11" t="s">
        <v>204</v>
      </c>
      <c r="V276" s="187">
        <v>45981</v>
      </c>
    </row>
    <row r="277" spans="2:22">
      <c r="B277" s="155" t="s">
        <v>595</v>
      </c>
      <c r="C277" s="155" t="s">
        <v>31</v>
      </c>
      <c r="D277" s="155" t="s">
        <v>128</v>
      </c>
      <c r="E277" s="245">
        <v>45954</v>
      </c>
      <c r="F277" s="156">
        <v>4980</v>
      </c>
      <c r="G277" s="161">
        <v>5473</v>
      </c>
      <c r="H277" s="419">
        <v>164</v>
      </c>
      <c r="I277" s="162"/>
      <c r="J277" s="144">
        <f t="shared" si="34"/>
        <v>5309</v>
      </c>
      <c r="K277" s="140"/>
      <c r="L277" s="141">
        <v>45969</v>
      </c>
      <c r="M277" s="145">
        <v>0</v>
      </c>
      <c r="N277" s="145">
        <v>0</v>
      </c>
      <c r="O277" s="140"/>
      <c r="P277" s="50">
        <v>5309</v>
      </c>
      <c r="Q277" s="21"/>
      <c r="R277" s="21"/>
      <c r="S277" s="146">
        <f t="shared" si="35"/>
        <v>0</v>
      </c>
      <c r="T277" s="21" t="s">
        <v>204</v>
      </c>
      <c r="U277" s="11" t="s">
        <v>204</v>
      </c>
      <c r="V277" s="187">
        <v>45961</v>
      </c>
    </row>
    <row r="278" spans="2:22">
      <c r="B278" s="155" t="s">
        <v>194</v>
      </c>
      <c r="C278" s="155" t="s">
        <v>31</v>
      </c>
      <c r="D278" s="155" t="s">
        <v>128</v>
      </c>
      <c r="E278" s="245">
        <v>45954</v>
      </c>
      <c r="F278" s="156">
        <v>4970</v>
      </c>
      <c r="G278" s="161">
        <v>45765</v>
      </c>
      <c r="H278" s="419">
        <v>1765</v>
      </c>
      <c r="I278" s="162"/>
      <c r="J278" s="144">
        <f t="shared" si="34"/>
        <v>44000</v>
      </c>
      <c r="K278" s="140"/>
      <c r="L278" s="141">
        <v>45969</v>
      </c>
      <c r="M278" s="145">
        <v>0</v>
      </c>
      <c r="N278" s="145">
        <v>0</v>
      </c>
      <c r="O278" s="140"/>
      <c r="P278" s="21">
        <v>44000</v>
      </c>
      <c r="Q278" s="21"/>
      <c r="R278" s="21"/>
      <c r="S278" s="146">
        <f t="shared" si="35"/>
        <v>0</v>
      </c>
      <c r="T278" s="21" t="s">
        <v>204</v>
      </c>
      <c r="U278" s="11" t="s">
        <v>204</v>
      </c>
      <c r="V278" s="187">
        <v>45960</v>
      </c>
    </row>
    <row r="279" spans="2:22">
      <c r="B279" s="155" t="s">
        <v>515</v>
      </c>
      <c r="C279" s="155" t="s">
        <v>31</v>
      </c>
      <c r="D279" s="155" t="s">
        <v>128</v>
      </c>
      <c r="E279" s="245">
        <v>45954</v>
      </c>
      <c r="F279" s="156">
        <v>4940</v>
      </c>
      <c r="G279" s="161">
        <v>55637</v>
      </c>
      <c r="H279" s="419">
        <v>1113</v>
      </c>
      <c r="I279" s="162"/>
      <c r="J279" s="144">
        <f t="shared" si="34"/>
        <v>54524</v>
      </c>
      <c r="K279" s="140"/>
      <c r="L279" s="141">
        <v>45969</v>
      </c>
      <c r="M279" s="145">
        <v>0</v>
      </c>
      <c r="N279" s="145">
        <v>0</v>
      </c>
      <c r="O279" s="140"/>
      <c r="P279" s="50">
        <v>20000</v>
      </c>
      <c r="Q279" s="21">
        <v>34524</v>
      </c>
      <c r="R279" s="21"/>
      <c r="S279" s="146">
        <f t="shared" si="35"/>
        <v>0</v>
      </c>
      <c r="T279" s="21" t="s">
        <v>204</v>
      </c>
      <c r="U279" s="11" t="s">
        <v>204</v>
      </c>
      <c r="V279" s="187">
        <v>45965</v>
      </c>
    </row>
    <row r="280" spans="2:22">
      <c r="B280" s="155" t="s">
        <v>1003</v>
      </c>
      <c r="C280" s="155" t="s">
        <v>31</v>
      </c>
      <c r="D280" s="155" t="s">
        <v>128</v>
      </c>
      <c r="E280" s="245">
        <v>45955</v>
      </c>
      <c r="F280" s="240" t="s">
        <v>1004</v>
      </c>
      <c r="G280" s="158">
        <v>116725</v>
      </c>
      <c r="H280" s="419">
        <v>5837</v>
      </c>
      <c r="I280" s="162"/>
      <c r="J280" s="144">
        <f t="shared" ref="J280:J307" si="36">+G280-H280-I280</f>
        <v>110888</v>
      </c>
      <c r="K280" s="140"/>
      <c r="L280" s="187">
        <v>45955</v>
      </c>
      <c r="M280" s="145">
        <v>0</v>
      </c>
      <c r="N280" s="145">
        <v>0</v>
      </c>
      <c r="O280" s="140"/>
      <c r="P280" s="21">
        <v>110888</v>
      </c>
      <c r="Q280" s="21"/>
      <c r="R280" s="21"/>
      <c r="S280" s="146">
        <f t="shared" ref="S280:S307" si="37">+J280-SUM(P280:R280)</f>
        <v>0</v>
      </c>
      <c r="T280" s="21" t="s">
        <v>204</v>
      </c>
      <c r="U280" s="11" t="s">
        <v>204</v>
      </c>
      <c r="V280" s="187">
        <v>45955</v>
      </c>
    </row>
    <row r="281" spans="2:22">
      <c r="B281" s="163" t="s">
        <v>1005</v>
      </c>
      <c r="C281" s="181" t="s">
        <v>31</v>
      </c>
      <c r="D281" s="181" t="s">
        <v>128</v>
      </c>
      <c r="E281" s="408">
        <v>45955</v>
      </c>
      <c r="F281" s="303" t="s">
        <v>1006</v>
      </c>
      <c r="G281" s="174">
        <v>103208</v>
      </c>
      <c r="H281" s="421">
        <v>3098</v>
      </c>
      <c r="I281" s="162"/>
      <c r="J281" s="144">
        <f t="shared" si="36"/>
        <v>100110</v>
      </c>
      <c r="K281" s="140"/>
      <c r="L281" s="141">
        <v>45969</v>
      </c>
      <c r="M281" s="145">
        <v>0</v>
      </c>
      <c r="N281" s="145">
        <v>0</v>
      </c>
      <c r="O281" s="140"/>
      <c r="P281" s="21">
        <v>100110</v>
      </c>
      <c r="Q281" s="50"/>
      <c r="R281" s="21"/>
      <c r="S281" s="146">
        <f t="shared" si="37"/>
        <v>0</v>
      </c>
      <c r="T281" s="21" t="s">
        <v>204</v>
      </c>
      <c r="U281" s="11" t="s">
        <v>204</v>
      </c>
      <c r="V281" s="187">
        <v>45965</v>
      </c>
    </row>
    <row r="282" spans="2:22">
      <c r="B282" s="155" t="s">
        <v>312</v>
      </c>
      <c r="C282" s="155" t="s">
        <v>31</v>
      </c>
      <c r="D282" s="155" t="s">
        <v>128</v>
      </c>
      <c r="E282" s="245">
        <v>45955</v>
      </c>
      <c r="F282" s="304" t="s">
        <v>1007</v>
      </c>
      <c r="G282" s="161">
        <v>7165</v>
      </c>
      <c r="H282" s="419">
        <v>145</v>
      </c>
      <c r="I282" s="162"/>
      <c r="J282" s="144">
        <f t="shared" si="36"/>
        <v>7020</v>
      </c>
      <c r="K282" s="140"/>
      <c r="L282" s="141">
        <v>45969</v>
      </c>
      <c r="M282" s="145">
        <v>0</v>
      </c>
      <c r="N282" s="145">
        <v>0</v>
      </c>
      <c r="O282" s="140"/>
      <c r="P282" s="50">
        <v>7020</v>
      </c>
      <c r="Q282" s="21"/>
      <c r="R282" s="21"/>
      <c r="S282" s="146">
        <f t="shared" si="37"/>
        <v>0</v>
      </c>
      <c r="T282" s="21" t="s">
        <v>204</v>
      </c>
      <c r="U282" s="11" t="s">
        <v>204</v>
      </c>
      <c r="V282" s="187">
        <v>45958</v>
      </c>
    </row>
    <row r="283" spans="2:22">
      <c r="B283" s="155" t="s">
        <v>156</v>
      </c>
      <c r="C283" s="155" t="s">
        <v>31</v>
      </c>
      <c r="D283" s="155" t="s">
        <v>128</v>
      </c>
      <c r="E283" s="245">
        <v>45955</v>
      </c>
      <c r="F283" s="240" t="s">
        <v>1008</v>
      </c>
      <c r="G283" s="158">
        <v>1283951</v>
      </c>
      <c r="H283" s="419">
        <v>38522</v>
      </c>
      <c r="I283" s="162">
        <v>25679</v>
      </c>
      <c r="J283" s="144">
        <f t="shared" si="36"/>
        <v>1219750</v>
      </c>
      <c r="K283" s="140"/>
      <c r="L283" s="141">
        <v>45969</v>
      </c>
      <c r="M283" s="145">
        <v>0</v>
      </c>
      <c r="N283" s="145">
        <v>0</v>
      </c>
      <c r="O283" s="140"/>
      <c r="P283" s="50">
        <v>400630</v>
      </c>
      <c r="Q283" s="21">
        <f>214370+14500+25500</f>
        <v>254370</v>
      </c>
      <c r="R283" s="21">
        <v>564750</v>
      </c>
      <c r="S283" s="146">
        <f t="shared" si="37"/>
        <v>0</v>
      </c>
      <c r="T283" s="21" t="s">
        <v>204</v>
      </c>
      <c r="U283" s="11" t="s">
        <v>204</v>
      </c>
      <c r="V283" s="187">
        <v>45968</v>
      </c>
    </row>
    <row r="284" spans="2:22">
      <c r="B284" s="155" t="s">
        <v>1009</v>
      </c>
      <c r="C284" s="155" t="s">
        <v>56</v>
      </c>
      <c r="D284" s="155" t="s">
        <v>31</v>
      </c>
      <c r="E284" s="245">
        <v>45955</v>
      </c>
      <c r="F284" s="156">
        <v>38170</v>
      </c>
      <c r="G284" s="161">
        <v>6113</v>
      </c>
      <c r="H284" s="419"/>
      <c r="I284" s="162"/>
      <c r="J284" s="144">
        <f t="shared" si="36"/>
        <v>6113</v>
      </c>
      <c r="K284" s="140"/>
      <c r="L284" s="187">
        <v>45958</v>
      </c>
      <c r="M284" s="145">
        <v>0</v>
      </c>
      <c r="N284" s="145">
        <v>0</v>
      </c>
      <c r="O284" s="140"/>
      <c r="P284" s="21">
        <v>6113</v>
      </c>
      <c r="Q284" s="21"/>
      <c r="R284" s="21"/>
      <c r="S284" s="146">
        <f t="shared" si="37"/>
        <v>0</v>
      </c>
      <c r="T284" s="11" t="s">
        <v>204</v>
      </c>
      <c r="U284" s="11" t="s">
        <v>204</v>
      </c>
      <c r="V284" s="187">
        <v>45957</v>
      </c>
    </row>
    <row r="285" spans="2:22">
      <c r="B285" s="11" t="s">
        <v>1010</v>
      </c>
      <c r="C285" s="30" t="s">
        <v>693</v>
      </c>
      <c r="D285" s="30" t="s">
        <v>693</v>
      </c>
      <c r="E285" s="187">
        <v>45955</v>
      </c>
      <c r="F285" s="78">
        <v>38250</v>
      </c>
      <c r="G285" s="99">
        <v>932</v>
      </c>
      <c r="H285" s="340"/>
      <c r="I285" s="154"/>
      <c r="J285" s="144">
        <f t="shared" si="36"/>
        <v>932</v>
      </c>
      <c r="K285" s="140"/>
      <c r="L285" s="187">
        <v>45958</v>
      </c>
      <c r="M285" s="145">
        <f ca="1">+$A$1-E285</f>
        <v>35</v>
      </c>
      <c r="N285" s="145">
        <f ca="1">$A$1-L285</f>
        <v>32</v>
      </c>
      <c r="O285" s="140"/>
      <c r="P285" s="21"/>
      <c r="Q285" s="21"/>
      <c r="R285" s="21"/>
      <c r="S285" s="146">
        <f t="shared" si="37"/>
        <v>932</v>
      </c>
      <c r="T285" s="21"/>
      <c r="U285" s="11"/>
      <c r="V285" s="348"/>
    </row>
    <row r="286" spans="2:22">
      <c r="B286" s="155" t="s">
        <v>1011</v>
      </c>
      <c r="C286" s="155" t="s">
        <v>48</v>
      </c>
      <c r="D286" s="155" t="s">
        <v>26</v>
      </c>
      <c r="E286" s="245">
        <v>45955</v>
      </c>
      <c r="F286" s="156">
        <v>38190</v>
      </c>
      <c r="G286" s="161">
        <v>9169</v>
      </c>
      <c r="H286" s="419"/>
      <c r="I286" s="162"/>
      <c r="J286" s="144">
        <f t="shared" si="36"/>
        <v>9169</v>
      </c>
      <c r="K286" s="140"/>
      <c r="L286" s="187">
        <v>45958</v>
      </c>
      <c r="M286" s="145">
        <v>0</v>
      </c>
      <c r="N286" s="145">
        <v>0</v>
      </c>
      <c r="O286" s="140"/>
      <c r="P286" s="21">
        <v>9169</v>
      </c>
      <c r="Q286" s="21"/>
      <c r="R286" s="21"/>
      <c r="S286" s="146">
        <f t="shared" si="37"/>
        <v>0</v>
      </c>
      <c r="T286" s="21" t="s">
        <v>204</v>
      </c>
      <c r="U286" s="11" t="s">
        <v>204</v>
      </c>
      <c r="V286" s="187">
        <v>45957</v>
      </c>
    </row>
    <row r="287" spans="2:22">
      <c r="B287" s="155" t="s">
        <v>1021</v>
      </c>
      <c r="C287" s="155" t="s">
        <v>63</v>
      </c>
      <c r="D287" s="155" t="s">
        <v>64</v>
      </c>
      <c r="E287" s="186">
        <v>45957</v>
      </c>
      <c r="F287" s="156">
        <v>38990</v>
      </c>
      <c r="G287" s="161">
        <v>14729</v>
      </c>
      <c r="H287" s="419"/>
      <c r="I287" s="162"/>
      <c r="J287" s="144">
        <f t="shared" si="36"/>
        <v>14729</v>
      </c>
      <c r="K287" s="140"/>
      <c r="L287" s="141">
        <v>45965</v>
      </c>
      <c r="M287" s="145">
        <v>0</v>
      </c>
      <c r="N287" s="145">
        <v>0</v>
      </c>
      <c r="O287" s="140"/>
      <c r="P287" s="21">
        <v>14729</v>
      </c>
      <c r="Q287" s="50"/>
      <c r="R287" s="21"/>
      <c r="S287" s="146">
        <f t="shared" si="37"/>
        <v>0</v>
      </c>
      <c r="T287" s="21" t="s">
        <v>204</v>
      </c>
      <c r="U287" s="11" t="s">
        <v>204</v>
      </c>
      <c r="V287" s="187">
        <v>45964</v>
      </c>
    </row>
    <row r="288" spans="2:22">
      <c r="B288" s="155" t="s">
        <v>1022</v>
      </c>
      <c r="C288" s="155" t="s">
        <v>63</v>
      </c>
      <c r="D288" s="155" t="s">
        <v>64</v>
      </c>
      <c r="E288" s="186">
        <v>45957</v>
      </c>
      <c r="F288" s="156">
        <v>38950</v>
      </c>
      <c r="G288" s="161">
        <v>5533</v>
      </c>
      <c r="H288" s="419"/>
      <c r="I288" s="162"/>
      <c r="J288" s="144">
        <f t="shared" si="36"/>
        <v>5533</v>
      </c>
      <c r="K288" s="140"/>
      <c r="L288" s="141">
        <v>45965</v>
      </c>
      <c r="M288" s="145">
        <v>0</v>
      </c>
      <c r="N288" s="145">
        <v>0</v>
      </c>
      <c r="O288" s="140"/>
      <c r="P288" s="50">
        <v>5533</v>
      </c>
      <c r="Q288" s="21"/>
      <c r="R288" s="21"/>
      <c r="S288" s="146">
        <f t="shared" si="37"/>
        <v>0</v>
      </c>
      <c r="T288" s="21" t="s">
        <v>204</v>
      </c>
      <c r="U288" s="11" t="s">
        <v>204</v>
      </c>
      <c r="V288" s="187">
        <v>45959</v>
      </c>
    </row>
    <row r="289" spans="2:22">
      <c r="B289" s="155" t="s">
        <v>533</v>
      </c>
      <c r="C289" s="155" t="s">
        <v>63</v>
      </c>
      <c r="D289" s="155" t="s">
        <v>64</v>
      </c>
      <c r="E289" s="186">
        <v>45957</v>
      </c>
      <c r="F289" s="156">
        <v>38930</v>
      </c>
      <c r="G289" s="161">
        <v>7457</v>
      </c>
      <c r="H289" s="419"/>
      <c r="I289" s="162"/>
      <c r="J289" s="144">
        <f t="shared" si="36"/>
        <v>7457</v>
      </c>
      <c r="K289" s="140"/>
      <c r="L289" s="141">
        <v>45965</v>
      </c>
      <c r="M289" s="145">
        <v>0</v>
      </c>
      <c r="N289" s="145">
        <v>0</v>
      </c>
      <c r="O289" s="140"/>
      <c r="P289" s="21">
        <v>7457</v>
      </c>
      <c r="Q289" s="21"/>
      <c r="R289" s="21"/>
      <c r="S289" s="146">
        <f t="shared" si="37"/>
        <v>0</v>
      </c>
      <c r="T289" s="21" t="s">
        <v>204</v>
      </c>
      <c r="U289" s="11" t="s">
        <v>204</v>
      </c>
      <c r="V289" s="187">
        <v>45964</v>
      </c>
    </row>
    <row r="290" spans="2:22">
      <c r="B290" s="156" t="s">
        <v>1027</v>
      </c>
      <c r="C290" s="155" t="s">
        <v>56</v>
      </c>
      <c r="D290" s="155" t="s">
        <v>31</v>
      </c>
      <c r="E290" s="186">
        <v>45957</v>
      </c>
      <c r="F290" s="240" t="s">
        <v>1028</v>
      </c>
      <c r="G290" s="158">
        <v>9626</v>
      </c>
      <c r="H290" s="419"/>
      <c r="I290" s="162"/>
      <c r="J290" s="144">
        <f t="shared" si="36"/>
        <v>9626</v>
      </c>
      <c r="K290" s="140"/>
      <c r="L290" s="141">
        <v>45965</v>
      </c>
      <c r="M290" s="145">
        <v>0</v>
      </c>
      <c r="N290" s="145">
        <v>0</v>
      </c>
      <c r="O290" s="140"/>
      <c r="P290" s="21">
        <v>9626</v>
      </c>
      <c r="Q290" s="21"/>
      <c r="R290" s="21"/>
      <c r="S290" s="146">
        <f t="shared" si="37"/>
        <v>0</v>
      </c>
      <c r="T290" s="21" t="s">
        <v>204</v>
      </c>
      <c r="U290" s="11" t="s">
        <v>204</v>
      </c>
      <c r="V290" s="187">
        <v>45960</v>
      </c>
    </row>
    <row r="291" spans="2:22">
      <c r="B291" s="155" t="s">
        <v>351</v>
      </c>
      <c r="C291" s="155" t="s">
        <v>48</v>
      </c>
      <c r="D291" s="155" t="s">
        <v>26</v>
      </c>
      <c r="E291" s="186">
        <v>45957</v>
      </c>
      <c r="F291" s="304" t="s">
        <v>1031</v>
      </c>
      <c r="G291" s="158">
        <v>18740</v>
      </c>
      <c r="H291" s="419"/>
      <c r="I291" s="162"/>
      <c r="J291" s="144">
        <f t="shared" si="36"/>
        <v>18740</v>
      </c>
      <c r="K291" s="140"/>
      <c r="L291" s="141">
        <v>45965</v>
      </c>
      <c r="M291" s="145">
        <v>0</v>
      </c>
      <c r="N291" s="145">
        <v>0</v>
      </c>
      <c r="O291" s="140"/>
      <c r="P291" s="50">
        <v>18740</v>
      </c>
      <c r="Q291" s="21"/>
      <c r="R291" s="21"/>
      <c r="S291" s="146">
        <f t="shared" si="37"/>
        <v>0</v>
      </c>
      <c r="T291" s="21" t="s">
        <v>204</v>
      </c>
      <c r="U291" s="11" t="s">
        <v>204</v>
      </c>
      <c r="V291" s="187">
        <v>45976</v>
      </c>
    </row>
    <row r="292" spans="2:22">
      <c r="B292" s="155" t="s">
        <v>965</v>
      </c>
      <c r="C292" s="155" t="s">
        <v>31</v>
      </c>
      <c r="D292" s="155" t="s">
        <v>128</v>
      </c>
      <c r="E292" s="186">
        <v>45957</v>
      </c>
      <c r="F292" s="156">
        <v>5130</v>
      </c>
      <c r="G292" s="161">
        <v>43595</v>
      </c>
      <c r="H292" s="419">
        <v>1308</v>
      </c>
      <c r="I292" s="162"/>
      <c r="J292" s="144">
        <f t="shared" si="36"/>
        <v>42287</v>
      </c>
      <c r="K292" s="140"/>
      <c r="L292" s="141">
        <v>45972</v>
      </c>
      <c r="M292" s="145">
        <v>0</v>
      </c>
      <c r="N292" s="145">
        <v>0</v>
      </c>
      <c r="O292" s="140"/>
      <c r="P292" s="21">
        <v>42287</v>
      </c>
      <c r="Q292" s="21"/>
      <c r="R292" s="21"/>
      <c r="S292" s="146">
        <f t="shared" si="37"/>
        <v>0</v>
      </c>
      <c r="T292" s="21" t="s">
        <v>204</v>
      </c>
      <c r="U292" s="11" t="s">
        <v>204</v>
      </c>
      <c r="V292" s="187">
        <v>45964</v>
      </c>
    </row>
    <row r="293" spans="2:22">
      <c r="B293" s="155" t="s">
        <v>233</v>
      </c>
      <c r="C293" s="155" t="s">
        <v>31</v>
      </c>
      <c r="D293" s="155" t="s">
        <v>128</v>
      </c>
      <c r="E293" s="186">
        <v>45957</v>
      </c>
      <c r="F293" s="156">
        <v>5120</v>
      </c>
      <c r="G293" s="161">
        <v>44918</v>
      </c>
      <c r="H293" s="419">
        <v>1348</v>
      </c>
      <c r="I293" s="162"/>
      <c r="J293" s="144">
        <f t="shared" si="36"/>
        <v>43570</v>
      </c>
      <c r="K293" s="140"/>
      <c r="L293" s="141">
        <v>45972</v>
      </c>
      <c r="M293" s="145">
        <v>0</v>
      </c>
      <c r="N293" s="145">
        <v>0</v>
      </c>
      <c r="O293" s="140"/>
      <c r="P293" s="21">
        <v>6970</v>
      </c>
      <c r="Q293" s="21">
        <v>36600</v>
      </c>
      <c r="R293" s="21"/>
      <c r="S293" s="146">
        <f t="shared" si="37"/>
        <v>0</v>
      </c>
      <c r="T293" s="21" t="s">
        <v>204</v>
      </c>
      <c r="U293" s="11" t="s">
        <v>204</v>
      </c>
      <c r="V293" s="187">
        <v>45989</v>
      </c>
    </row>
    <row r="294" spans="2:22">
      <c r="B294" s="155" t="s">
        <v>496</v>
      </c>
      <c r="C294" s="155" t="s">
        <v>31</v>
      </c>
      <c r="D294" s="155" t="s">
        <v>128</v>
      </c>
      <c r="E294" s="186">
        <v>45957</v>
      </c>
      <c r="F294" s="156">
        <v>5090</v>
      </c>
      <c r="G294" s="161">
        <v>39502</v>
      </c>
      <c r="H294" s="419"/>
      <c r="I294" s="162"/>
      <c r="J294" s="144">
        <f t="shared" si="36"/>
        <v>39502</v>
      </c>
      <c r="K294" s="140"/>
      <c r="L294" s="141">
        <v>45972</v>
      </c>
      <c r="M294" s="145">
        <v>0</v>
      </c>
      <c r="N294" s="145">
        <v>0</v>
      </c>
      <c r="O294" s="140"/>
      <c r="P294" s="21">
        <v>39500</v>
      </c>
      <c r="Q294" s="21"/>
      <c r="R294" s="21"/>
      <c r="S294" s="146">
        <v>0</v>
      </c>
      <c r="T294" s="21" t="s">
        <v>204</v>
      </c>
      <c r="U294" s="11" t="s">
        <v>204</v>
      </c>
      <c r="V294" s="187">
        <v>45978</v>
      </c>
    </row>
    <row r="295" spans="2:22">
      <c r="B295" s="155" t="s">
        <v>108</v>
      </c>
      <c r="C295" s="155" t="s">
        <v>31</v>
      </c>
      <c r="D295" s="155" t="s">
        <v>128</v>
      </c>
      <c r="E295" s="186">
        <v>45957</v>
      </c>
      <c r="F295" s="156">
        <v>5140</v>
      </c>
      <c r="G295" s="161">
        <v>421116</v>
      </c>
      <c r="H295" s="419">
        <v>12635</v>
      </c>
      <c r="I295" s="162">
        <v>4211</v>
      </c>
      <c r="J295" s="144">
        <f t="shared" si="36"/>
        <v>404270</v>
      </c>
      <c r="K295" s="140"/>
      <c r="L295" s="141">
        <v>45972</v>
      </c>
      <c r="M295" s="145">
        <v>0</v>
      </c>
      <c r="N295" s="145">
        <v>0</v>
      </c>
      <c r="O295" s="140"/>
      <c r="P295" s="50">
        <v>100000</v>
      </c>
      <c r="Q295" s="50">
        <v>100000</v>
      </c>
      <c r="R295" s="21">
        <f>204210+60</f>
        <v>204270</v>
      </c>
      <c r="S295" s="146">
        <f t="shared" si="37"/>
        <v>0</v>
      </c>
      <c r="T295" s="21" t="s">
        <v>204</v>
      </c>
      <c r="U295" s="11" t="s">
        <v>204</v>
      </c>
      <c r="V295" s="187">
        <v>45978</v>
      </c>
    </row>
    <row r="296" spans="2:22">
      <c r="B296" s="155" t="s">
        <v>149</v>
      </c>
      <c r="C296" s="155" t="s">
        <v>31</v>
      </c>
      <c r="D296" s="155" t="s">
        <v>128</v>
      </c>
      <c r="E296" s="186">
        <v>45957</v>
      </c>
      <c r="F296" s="156">
        <v>5110</v>
      </c>
      <c r="G296" s="161">
        <v>25948</v>
      </c>
      <c r="H296" s="419">
        <v>553</v>
      </c>
      <c r="I296" s="162"/>
      <c r="J296" s="144">
        <f t="shared" si="36"/>
        <v>25395</v>
      </c>
      <c r="K296" s="140"/>
      <c r="L296" s="141">
        <v>45972</v>
      </c>
      <c r="M296" s="145">
        <v>0</v>
      </c>
      <c r="N296" s="145">
        <v>0</v>
      </c>
      <c r="O296" s="140"/>
      <c r="P296" s="50">
        <v>25395</v>
      </c>
      <c r="Q296" s="21"/>
      <c r="R296" s="21"/>
      <c r="S296" s="146">
        <f t="shared" si="37"/>
        <v>0</v>
      </c>
      <c r="T296" s="21" t="s">
        <v>204</v>
      </c>
      <c r="U296" s="11" t="s">
        <v>204</v>
      </c>
      <c r="V296" s="187">
        <v>45962</v>
      </c>
    </row>
    <row r="297" spans="2:22">
      <c r="B297" s="155" t="s">
        <v>109</v>
      </c>
      <c r="C297" s="155" t="s">
        <v>31</v>
      </c>
      <c r="D297" s="155" t="s">
        <v>128</v>
      </c>
      <c r="E297" s="186">
        <v>45957</v>
      </c>
      <c r="F297" s="156">
        <v>5080</v>
      </c>
      <c r="G297" s="161">
        <v>20048</v>
      </c>
      <c r="H297" s="419"/>
      <c r="I297" s="162"/>
      <c r="J297" s="144">
        <f t="shared" si="36"/>
        <v>20048</v>
      </c>
      <c r="K297" s="140"/>
      <c r="L297" s="141">
        <v>45972</v>
      </c>
      <c r="M297" s="145">
        <v>0</v>
      </c>
      <c r="N297" s="145">
        <v>0</v>
      </c>
      <c r="O297" s="140"/>
      <c r="P297" s="21">
        <v>20048</v>
      </c>
      <c r="Q297" s="21"/>
      <c r="R297" s="21"/>
      <c r="S297" s="146">
        <f t="shared" si="37"/>
        <v>0</v>
      </c>
      <c r="T297" s="21" t="s">
        <v>204</v>
      </c>
      <c r="U297" s="11" t="s">
        <v>204</v>
      </c>
      <c r="V297" s="187">
        <v>45958</v>
      </c>
    </row>
    <row r="298" spans="2:22">
      <c r="B298" s="155" t="s">
        <v>966</v>
      </c>
      <c r="C298" s="155" t="s">
        <v>31</v>
      </c>
      <c r="D298" s="155" t="s">
        <v>128</v>
      </c>
      <c r="E298" s="186">
        <v>45957</v>
      </c>
      <c r="F298" s="156">
        <v>5070</v>
      </c>
      <c r="G298" s="161">
        <v>30412</v>
      </c>
      <c r="H298" s="419">
        <v>612</v>
      </c>
      <c r="I298" s="162"/>
      <c r="J298" s="144">
        <f t="shared" si="36"/>
        <v>29800</v>
      </c>
      <c r="K298" s="140"/>
      <c r="L298" s="141">
        <v>45972</v>
      </c>
      <c r="M298" s="145">
        <v>0</v>
      </c>
      <c r="N298" s="145">
        <v>0</v>
      </c>
      <c r="O298" s="140"/>
      <c r="P298" s="21">
        <v>29800</v>
      </c>
      <c r="Q298" s="21"/>
      <c r="R298" s="21"/>
      <c r="S298" s="146">
        <f t="shared" si="37"/>
        <v>0</v>
      </c>
      <c r="T298" s="21" t="s">
        <v>204</v>
      </c>
      <c r="U298" s="11" t="s">
        <v>204</v>
      </c>
      <c r="V298" s="187">
        <v>45958</v>
      </c>
    </row>
    <row r="299" spans="2:22">
      <c r="B299" s="11" t="s">
        <v>451</v>
      </c>
      <c r="C299" s="30" t="s">
        <v>31</v>
      </c>
      <c r="D299" s="30" t="s">
        <v>128</v>
      </c>
      <c r="E299" s="170">
        <v>45957</v>
      </c>
      <c r="F299" s="78">
        <v>5100</v>
      </c>
      <c r="G299" s="99">
        <v>75571</v>
      </c>
      <c r="H299" s="340"/>
      <c r="I299" s="154"/>
      <c r="J299" s="144">
        <f t="shared" si="36"/>
        <v>75571</v>
      </c>
      <c r="K299" s="140"/>
      <c r="L299" s="141">
        <v>45972</v>
      </c>
      <c r="M299" s="145">
        <f ca="1">+$A$1-E299</f>
        <v>33</v>
      </c>
      <c r="N299" s="145">
        <f ca="1">$A$1-L299</f>
        <v>18</v>
      </c>
      <c r="O299" s="140"/>
      <c r="P299" s="21"/>
      <c r="Q299" s="21"/>
      <c r="R299" s="21"/>
      <c r="S299" s="146">
        <f t="shared" si="37"/>
        <v>75571</v>
      </c>
      <c r="T299" s="21"/>
      <c r="U299" s="11"/>
      <c r="V299" s="348"/>
    </row>
    <row r="300" spans="2:22">
      <c r="B300" s="155" t="s">
        <v>817</v>
      </c>
      <c r="C300" s="155" t="s">
        <v>63</v>
      </c>
      <c r="D300" s="155" t="s">
        <v>64</v>
      </c>
      <c r="E300" s="245">
        <v>45958</v>
      </c>
      <c r="F300" s="240" t="s">
        <v>1039</v>
      </c>
      <c r="G300" s="158">
        <v>4200</v>
      </c>
      <c r="H300" s="419"/>
      <c r="I300" s="162"/>
      <c r="J300" s="144">
        <f t="shared" si="36"/>
        <v>4200</v>
      </c>
      <c r="K300" s="140"/>
      <c r="L300" s="141">
        <v>45965</v>
      </c>
      <c r="M300" s="145">
        <v>0</v>
      </c>
      <c r="N300" s="145">
        <v>0</v>
      </c>
      <c r="O300" s="140"/>
      <c r="P300" s="21">
        <v>4200</v>
      </c>
      <c r="Q300" s="21"/>
      <c r="R300" s="21"/>
      <c r="S300" s="146">
        <f t="shared" si="37"/>
        <v>0</v>
      </c>
      <c r="T300" s="21" t="s">
        <v>204</v>
      </c>
      <c r="U300" s="11" t="s">
        <v>204</v>
      </c>
      <c r="V300" s="187">
        <v>45960</v>
      </c>
    </row>
    <row r="301" spans="2:22">
      <c r="B301" s="155" t="s">
        <v>1043</v>
      </c>
      <c r="C301" s="155" t="s">
        <v>56</v>
      </c>
      <c r="D301" s="155" t="s">
        <v>31</v>
      </c>
      <c r="E301" s="245">
        <v>45958</v>
      </c>
      <c r="F301" s="240" t="s">
        <v>1044</v>
      </c>
      <c r="G301" s="158">
        <v>3300</v>
      </c>
      <c r="H301" s="419"/>
      <c r="I301" s="162"/>
      <c r="J301" s="144">
        <f t="shared" si="36"/>
        <v>3300</v>
      </c>
      <c r="K301" s="140"/>
      <c r="L301" s="141">
        <v>45965</v>
      </c>
      <c r="M301" s="145">
        <v>0</v>
      </c>
      <c r="N301" s="145">
        <v>0</v>
      </c>
      <c r="O301" s="140"/>
      <c r="P301" s="21">
        <v>3300</v>
      </c>
      <c r="Q301" s="50"/>
      <c r="R301" s="21"/>
      <c r="S301" s="146">
        <f t="shared" si="37"/>
        <v>0</v>
      </c>
      <c r="T301" s="21" t="s">
        <v>204</v>
      </c>
      <c r="U301" s="11" t="s">
        <v>204</v>
      </c>
      <c r="V301" s="141">
        <v>45964</v>
      </c>
    </row>
    <row r="302" spans="2:22">
      <c r="B302" s="155" t="s">
        <v>1045</v>
      </c>
      <c r="C302" s="155" t="s">
        <v>56</v>
      </c>
      <c r="D302" s="155" t="s">
        <v>31</v>
      </c>
      <c r="E302" s="245">
        <v>45958</v>
      </c>
      <c r="F302" s="304"/>
      <c r="G302" s="158">
        <v>5060</v>
      </c>
      <c r="H302" s="419"/>
      <c r="I302" s="162"/>
      <c r="J302" s="144">
        <f t="shared" si="36"/>
        <v>5060</v>
      </c>
      <c r="K302" s="140"/>
      <c r="L302" s="141">
        <v>45965</v>
      </c>
      <c r="M302" s="145">
        <v>0</v>
      </c>
      <c r="N302" s="145">
        <v>0</v>
      </c>
      <c r="O302" s="140"/>
      <c r="P302" s="50">
        <v>5060</v>
      </c>
      <c r="Q302" s="21"/>
      <c r="R302" s="21"/>
      <c r="S302" s="146">
        <f t="shared" si="37"/>
        <v>0</v>
      </c>
      <c r="T302" s="21" t="s">
        <v>204</v>
      </c>
      <c r="U302" s="11" t="s">
        <v>204</v>
      </c>
      <c r="V302" s="187">
        <v>45959</v>
      </c>
    </row>
    <row r="303" spans="2:22">
      <c r="B303" s="11" t="s">
        <v>1010</v>
      </c>
      <c r="C303" s="30" t="s">
        <v>693</v>
      </c>
      <c r="D303" s="30" t="s">
        <v>693</v>
      </c>
      <c r="E303" s="170">
        <v>45959</v>
      </c>
      <c r="F303" s="275" t="s">
        <v>1073</v>
      </c>
      <c r="G303" s="99">
        <v>530</v>
      </c>
      <c r="H303" s="340"/>
      <c r="I303" s="154"/>
      <c r="J303" s="144">
        <f t="shared" si="36"/>
        <v>530</v>
      </c>
      <c r="K303" s="140"/>
      <c r="L303" s="141">
        <v>45965</v>
      </c>
      <c r="M303" s="145">
        <f ca="1">+$A$1-E303</f>
        <v>31</v>
      </c>
      <c r="N303" s="145">
        <f ca="1">$A$1-L303</f>
        <v>25</v>
      </c>
      <c r="O303" s="140"/>
      <c r="P303" s="21"/>
      <c r="Q303" s="21"/>
      <c r="R303" s="21"/>
      <c r="S303" s="146">
        <f t="shared" si="37"/>
        <v>530</v>
      </c>
      <c r="T303" s="21"/>
      <c r="U303" s="11"/>
      <c r="V303" s="194"/>
    </row>
    <row r="304" spans="2:22">
      <c r="B304" s="155" t="s">
        <v>961</v>
      </c>
      <c r="C304" s="155" t="s">
        <v>63</v>
      </c>
      <c r="D304" s="155" t="s">
        <v>64</v>
      </c>
      <c r="E304" s="186">
        <v>45959</v>
      </c>
      <c r="F304" s="240" t="s">
        <v>1072</v>
      </c>
      <c r="G304" s="161">
        <v>18819</v>
      </c>
      <c r="H304" s="419"/>
      <c r="I304" s="162"/>
      <c r="J304" s="144">
        <f t="shared" si="36"/>
        <v>18819</v>
      </c>
      <c r="K304" s="140"/>
      <c r="L304" s="141">
        <v>45965</v>
      </c>
      <c r="M304" s="145">
        <v>0</v>
      </c>
      <c r="N304" s="145">
        <v>0</v>
      </c>
      <c r="O304" s="140"/>
      <c r="P304" s="50">
        <v>10000</v>
      </c>
      <c r="Q304" s="21">
        <v>5000</v>
      </c>
      <c r="R304" s="21">
        <v>3819</v>
      </c>
      <c r="S304" s="146">
        <f t="shared" si="37"/>
        <v>0</v>
      </c>
      <c r="T304" s="21"/>
      <c r="U304" s="11" t="s">
        <v>204</v>
      </c>
      <c r="V304" s="141">
        <v>45973</v>
      </c>
    </row>
    <row r="305" spans="2:22">
      <c r="B305" s="155" t="s">
        <v>839</v>
      </c>
      <c r="C305" s="155" t="s">
        <v>48</v>
      </c>
      <c r="D305" s="155" t="s">
        <v>26</v>
      </c>
      <c r="E305" s="186">
        <v>45959</v>
      </c>
      <c r="F305" s="156">
        <v>9390</v>
      </c>
      <c r="G305" s="161">
        <v>4517</v>
      </c>
      <c r="H305" s="419"/>
      <c r="I305" s="162"/>
      <c r="J305" s="144">
        <f t="shared" si="36"/>
        <v>4517</v>
      </c>
      <c r="K305" s="140"/>
      <c r="L305" s="141">
        <v>45965</v>
      </c>
      <c r="M305" s="145">
        <v>0</v>
      </c>
      <c r="N305" s="145">
        <v>0</v>
      </c>
      <c r="O305" s="140"/>
      <c r="P305" s="99">
        <v>4517</v>
      </c>
      <c r="Q305" s="21"/>
      <c r="R305" s="21"/>
      <c r="S305" s="146">
        <f t="shared" si="37"/>
        <v>0</v>
      </c>
      <c r="T305" s="21" t="s">
        <v>204</v>
      </c>
      <c r="U305" s="11" t="s">
        <v>204</v>
      </c>
      <c r="V305" s="187">
        <v>45960</v>
      </c>
    </row>
    <row r="306" spans="2:22">
      <c r="B306" s="155" t="s">
        <v>1081</v>
      </c>
      <c r="C306" s="155" t="s">
        <v>48</v>
      </c>
      <c r="D306" s="155" t="s">
        <v>26</v>
      </c>
      <c r="E306" s="186">
        <v>45959</v>
      </c>
      <c r="F306" s="156">
        <v>9190</v>
      </c>
      <c r="G306" s="161">
        <v>3000</v>
      </c>
      <c r="H306" s="419"/>
      <c r="I306" s="162"/>
      <c r="J306" s="144">
        <f t="shared" si="36"/>
        <v>3000</v>
      </c>
      <c r="K306" s="140"/>
      <c r="L306" s="141">
        <v>45965</v>
      </c>
      <c r="M306" s="145">
        <v>0</v>
      </c>
      <c r="N306" s="145">
        <v>0</v>
      </c>
      <c r="O306" s="140"/>
      <c r="P306" s="99">
        <v>3000</v>
      </c>
      <c r="Q306" s="21"/>
      <c r="R306" s="21"/>
      <c r="S306" s="146">
        <f t="shared" si="37"/>
        <v>0</v>
      </c>
      <c r="T306" s="21" t="s">
        <v>204</v>
      </c>
      <c r="U306" s="11" t="s">
        <v>204</v>
      </c>
      <c r="V306" s="187">
        <v>45960</v>
      </c>
    </row>
    <row r="307" spans="2:22">
      <c r="B307" s="155" t="s">
        <v>1082</v>
      </c>
      <c r="C307" s="155" t="s">
        <v>48</v>
      </c>
      <c r="D307" s="155" t="s">
        <v>26</v>
      </c>
      <c r="E307" s="186">
        <v>45959</v>
      </c>
      <c r="F307" s="156">
        <v>9440</v>
      </c>
      <c r="G307" s="161">
        <v>4581</v>
      </c>
      <c r="H307" s="419"/>
      <c r="I307" s="162"/>
      <c r="J307" s="144">
        <f t="shared" si="36"/>
        <v>4581</v>
      </c>
      <c r="K307" s="140"/>
      <c r="L307" s="141">
        <v>45965</v>
      </c>
      <c r="M307" s="145">
        <v>0</v>
      </c>
      <c r="N307" s="145">
        <v>0</v>
      </c>
      <c r="O307" s="140"/>
      <c r="P307" s="99">
        <v>4581</v>
      </c>
      <c r="Q307" s="21"/>
      <c r="R307" s="21"/>
      <c r="S307" s="146">
        <f t="shared" si="37"/>
        <v>0</v>
      </c>
      <c r="T307" s="21" t="s">
        <v>204</v>
      </c>
      <c r="U307" s="11" t="s">
        <v>204</v>
      </c>
      <c r="V307" s="187">
        <v>45960</v>
      </c>
    </row>
    <row r="308" spans="2:22">
      <c r="B308" s="155" t="s">
        <v>1083</v>
      </c>
      <c r="C308" s="155" t="s">
        <v>48</v>
      </c>
      <c r="D308" s="155" t="s">
        <v>26</v>
      </c>
      <c r="E308" s="186">
        <v>45959</v>
      </c>
      <c r="F308" s="156">
        <v>9300</v>
      </c>
      <c r="G308" s="161">
        <v>440</v>
      </c>
      <c r="H308" s="419"/>
      <c r="I308" s="162"/>
      <c r="J308" s="144">
        <f t="shared" ref="J308:J317" si="38">+G308-H308-I308</f>
        <v>440</v>
      </c>
      <c r="K308" s="140"/>
      <c r="L308" s="141">
        <v>45965</v>
      </c>
      <c r="M308" s="145">
        <v>0</v>
      </c>
      <c r="N308" s="145">
        <v>0</v>
      </c>
      <c r="O308" s="140"/>
      <c r="P308" s="99">
        <v>440</v>
      </c>
      <c r="Q308" s="21"/>
      <c r="R308" s="21"/>
      <c r="S308" s="146">
        <f t="shared" ref="S308:S312" si="39">+J308-SUM(P308:R308)</f>
        <v>0</v>
      </c>
      <c r="T308" s="21" t="s">
        <v>204</v>
      </c>
      <c r="U308" s="11" t="s">
        <v>204</v>
      </c>
      <c r="V308" s="187">
        <v>45960</v>
      </c>
    </row>
    <row r="309" spans="2:22">
      <c r="B309" s="155" t="s">
        <v>1084</v>
      </c>
      <c r="C309" s="155" t="s">
        <v>48</v>
      </c>
      <c r="D309" s="155" t="s">
        <v>26</v>
      </c>
      <c r="E309" s="186">
        <v>45959</v>
      </c>
      <c r="F309" s="156">
        <v>9180</v>
      </c>
      <c r="G309" s="161">
        <v>1712</v>
      </c>
      <c r="H309" s="419"/>
      <c r="I309" s="162"/>
      <c r="J309" s="144">
        <f t="shared" si="38"/>
        <v>1712</v>
      </c>
      <c r="K309" s="140"/>
      <c r="L309" s="141">
        <v>45965</v>
      </c>
      <c r="M309" s="145">
        <v>0</v>
      </c>
      <c r="N309" s="145">
        <v>0</v>
      </c>
      <c r="O309" s="140"/>
      <c r="P309" s="99">
        <v>1712</v>
      </c>
      <c r="Q309" s="50"/>
      <c r="R309" s="21"/>
      <c r="S309" s="146">
        <f t="shared" si="39"/>
        <v>0</v>
      </c>
      <c r="T309" s="21" t="s">
        <v>204</v>
      </c>
      <c r="U309" s="11" t="s">
        <v>204</v>
      </c>
      <c r="V309" s="187">
        <v>45960</v>
      </c>
    </row>
    <row r="310" spans="2:22">
      <c r="B310" s="155" t="s">
        <v>1085</v>
      </c>
      <c r="C310" s="155" t="s">
        <v>48</v>
      </c>
      <c r="D310" s="155" t="s">
        <v>26</v>
      </c>
      <c r="E310" s="186">
        <v>45959</v>
      </c>
      <c r="F310" s="156">
        <v>9430</v>
      </c>
      <c r="G310" s="161">
        <v>4513</v>
      </c>
      <c r="H310" s="419"/>
      <c r="I310" s="162"/>
      <c r="J310" s="144">
        <f t="shared" si="38"/>
        <v>4513</v>
      </c>
      <c r="K310" s="140"/>
      <c r="L310" s="141">
        <v>45965</v>
      </c>
      <c r="M310" s="145">
        <v>0</v>
      </c>
      <c r="N310" s="145">
        <v>0</v>
      </c>
      <c r="O310" s="140"/>
      <c r="P310" s="99">
        <v>4513</v>
      </c>
      <c r="Q310" s="21"/>
      <c r="R310" s="21"/>
      <c r="S310" s="146">
        <f t="shared" si="39"/>
        <v>0</v>
      </c>
      <c r="T310" s="21" t="s">
        <v>204</v>
      </c>
      <c r="U310" s="11" t="s">
        <v>204</v>
      </c>
      <c r="V310" s="187">
        <v>45960</v>
      </c>
    </row>
    <row r="311" spans="2:22">
      <c r="B311" s="155" t="s">
        <v>437</v>
      </c>
      <c r="C311" s="155" t="s">
        <v>56</v>
      </c>
      <c r="D311" s="155" t="s">
        <v>31</v>
      </c>
      <c r="E311" s="186">
        <v>45960</v>
      </c>
      <c r="F311" s="240" t="s">
        <v>1095</v>
      </c>
      <c r="G311" s="158">
        <v>17830</v>
      </c>
      <c r="H311" s="419"/>
      <c r="I311" s="162"/>
      <c r="J311" s="144">
        <f t="shared" si="38"/>
        <v>17830</v>
      </c>
      <c r="K311" s="140"/>
      <c r="L311" s="141">
        <v>45965</v>
      </c>
      <c r="M311" s="145">
        <v>0</v>
      </c>
      <c r="N311" s="145">
        <v>0</v>
      </c>
      <c r="O311" s="140"/>
      <c r="P311" s="21">
        <v>17830</v>
      </c>
      <c r="Q311" s="21"/>
      <c r="R311" s="21"/>
      <c r="S311" s="146">
        <f t="shared" si="39"/>
        <v>0</v>
      </c>
      <c r="T311" s="21" t="s">
        <v>204</v>
      </c>
      <c r="U311" s="11" t="s">
        <v>204</v>
      </c>
      <c r="V311" s="141">
        <v>45980</v>
      </c>
    </row>
    <row r="312" spans="2:22">
      <c r="B312" s="155" t="s">
        <v>1115</v>
      </c>
      <c r="C312" s="155" t="s">
        <v>31</v>
      </c>
      <c r="D312" s="155" t="s">
        <v>128</v>
      </c>
      <c r="E312" s="186">
        <v>45960</v>
      </c>
      <c r="F312" s="156">
        <v>5390</v>
      </c>
      <c r="G312" s="161">
        <v>53630</v>
      </c>
      <c r="H312" s="419">
        <v>1045</v>
      </c>
      <c r="I312" s="162"/>
      <c r="J312" s="144">
        <f t="shared" si="38"/>
        <v>52585</v>
      </c>
      <c r="K312" s="140"/>
      <c r="L312" s="141">
        <v>45976</v>
      </c>
      <c r="M312" s="145">
        <v>0</v>
      </c>
      <c r="N312" s="145">
        <v>0</v>
      </c>
      <c r="O312" s="140"/>
      <c r="P312" s="21">
        <v>50483</v>
      </c>
      <c r="Q312" s="21">
        <v>2102</v>
      </c>
      <c r="R312" s="21"/>
      <c r="S312" s="146">
        <f t="shared" si="39"/>
        <v>0</v>
      </c>
      <c r="T312" s="21" t="s">
        <v>204</v>
      </c>
      <c r="U312" s="11" t="s">
        <v>204</v>
      </c>
      <c r="V312" s="141">
        <v>45964</v>
      </c>
    </row>
    <row r="313" spans="2:22">
      <c r="B313" s="155" t="s">
        <v>442</v>
      </c>
      <c r="C313" s="155" t="s">
        <v>31</v>
      </c>
      <c r="D313" s="155" t="s">
        <v>128</v>
      </c>
      <c r="E313" s="186">
        <v>45960</v>
      </c>
      <c r="F313" s="156">
        <v>5200</v>
      </c>
      <c r="G313" s="161">
        <v>15180</v>
      </c>
      <c r="H313" s="419">
        <v>304</v>
      </c>
      <c r="I313" s="162"/>
      <c r="J313" s="144">
        <f t="shared" si="38"/>
        <v>14876</v>
      </c>
      <c r="K313" s="140"/>
      <c r="L313" s="141">
        <v>45976</v>
      </c>
      <c r="M313" s="145">
        <v>0</v>
      </c>
      <c r="N313" s="145">
        <v>0</v>
      </c>
      <c r="O313" s="140"/>
      <c r="P313" s="21">
        <v>14876</v>
      </c>
      <c r="Q313" s="21"/>
      <c r="R313" s="21"/>
      <c r="S313" s="146">
        <f t="shared" ref="S313:S316" si="40">+J313-SUM(P313:R313)</f>
        <v>0</v>
      </c>
      <c r="T313" s="21" t="s">
        <v>204</v>
      </c>
      <c r="U313" s="11" t="s">
        <v>204</v>
      </c>
      <c r="V313" s="141">
        <v>45967</v>
      </c>
    </row>
    <row r="314" spans="2:22">
      <c r="B314" s="155" t="s">
        <v>477</v>
      </c>
      <c r="C314" s="155" t="s">
        <v>31</v>
      </c>
      <c r="D314" s="155" t="s">
        <v>128</v>
      </c>
      <c r="E314" s="186">
        <v>45960</v>
      </c>
      <c r="F314" s="156">
        <v>5260</v>
      </c>
      <c r="G314" s="161">
        <v>29341</v>
      </c>
      <c r="H314" s="419">
        <v>881</v>
      </c>
      <c r="I314" s="162"/>
      <c r="J314" s="144">
        <f t="shared" si="38"/>
        <v>28460</v>
      </c>
      <c r="K314" s="140"/>
      <c r="L314" s="141">
        <v>45976</v>
      </c>
      <c r="M314" s="145">
        <v>0</v>
      </c>
      <c r="N314" s="145">
        <v>0</v>
      </c>
      <c r="O314" s="140"/>
      <c r="P314" s="21">
        <v>28460</v>
      </c>
      <c r="Q314" s="21"/>
      <c r="R314" s="21"/>
      <c r="S314" s="146">
        <f t="shared" si="40"/>
        <v>0</v>
      </c>
      <c r="T314" s="21" t="s">
        <v>204</v>
      </c>
      <c r="U314" s="11" t="s">
        <v>204</v>
      </c>
      <c r="V314" s="141">
        <v>45981</v>
      </c>
    </row>
    <row r="315" spans="2:22">
      <c r="B315" s="155" t="s">
        <v>476</v>
      </c>
      <c r="C315" s="155" t="s">
        <v>31</v>
      </c>
      <c r="D315" s="155" t="s">
        <v>128</v>
      </c>
      <c r="E315" s="186">
        <v>45960</v>
      </c>
      <c r="F315" s="156">
        <v>5240</v>
      </c>
      <c r="G315" s="161">
        <v>69260</v>
      </c>
      <c r="H315" s="419">
        <v>2077</v>
      </c>
      <c r="I315" s="162"/>
      <c r="J315" s="144">
        <f t="shared" si="38"/>
        <v>67183</v>
      </c>
      <c r="K315" s="140"/>
      <c r="L315" s="141">
        <v>45976</v>
      </c>
      <c r="M315" s="145">
        <v>0</v>
      </c>
      <c r="N315" s="145">
        <v>0</v>
      </c>
      <c r="O315" s="140"/>
      <c r="P315" s="50">
        <v>32000</v>
      </c>
      <c r="Q315" s="21">
        <v>34300</v>
      </c>
      <c r="R315" s="21">
        <v>883</v>
      </c>
      <c r="S315" s="146">
        <f t="shared" si="40"/>
        <v>0</v>
      </c>
      <c r="T315" s="21" t="s">
        <v>204</v>
      </c>
      <c r="U315" s="11" t="s">
        <v>204</v>
      </c>
      <c r="V315" s="141">
        <v>45974</v>
      </c>
    </row>
    <row r="316" spans="2:22">
      <c r="B316" s="155" t="s">
        <v>1116</v>
      </c>
      <c r="C316" s="155" t="s">
        <v>31</v>
      </c>
      <c r="D316" s="155" t="s">
        <v>128</v>
      </c>
      <c r="E316" s="186">
        <v>45960</v>
      </c>
      <c r="F316" s="156">
        <v>5230</v>
      </c>
      <c r="G316" s="161">
        <v>30517</v>
      </c>
      <c r="H316" s="419">
        <v>917</v>
      </c>
      <c r="I316" s="162"/>
      <c r="J316" s="144">
        <f t="shared" si="38"/>
        <v>29600</v>
      </c>
      <c r="K316" s="140"/>
      <c r="L316" s="141">
        <v>45976</v>
      </c>
      <c r="M316" s="145">
        <v>0</v>
      </c>
      <c r="N316" s="145">
        <v>0</v>
      </c>
      <c r="O316" s="140"/>
      <c r="P316" s="21">
        <v>29600</v>
      </c>
      <c r="Q316" s="21"/>
      <c r="R316" s="21"/>
      <c r="S316" s="146">
        <f t="shared" si="40"/>
        <v>0</v>
      </c>
      <c r="T316" s="21" t="s">
        <v>204</v>
      </c>
      <c r="U316" s="11" t="s">
        <v>204</v>
      </c>
      <c r="V316" s="141">
        <v>45973</v>
      </c>
    </row>
    <row r="317" spans="2:22">
      <c r="B317" s="155" t="s">
        <v>1129</v>
      </c>
      <c r="C317" s="155" t="s">
        <v>63</v>
      </c>
      <c r="D317" s="155" t="s">
        <v>64</v>
      </c>
      <c r="E317" s="186">
        <v>45961</v>
      </c>
      <c r="F317" s="240" t="s">
        <v>1130</v>
      </c>
      <c r="G317" s="158">
        <v>14527</v>
      </c>
      <c r="H317" s="419"/>
      <c r="I317" s="162"/>
      <c r="J317" s="144">
        <f t="shared" si="38"/>
        <v>14527</v>
      </c>
      <c r="K317" s="140"/>
      <c r="L317" s="141">
        <v>45965</v>
      </c>
      <c r="M317" s="145">
        <v>0</v>
      </c>
      <c r="N317" s="145">
        <v>0</v>
      </c>
      <c r="O317" s="140"/>
      <c r="P317" s="21">
        <v>15000</v>
      </c>
      <c r="Q317" s="21">
        <v>27</v>
      </c>
      <c r="R317" s="21"/>
      <c r="S317" s="146">
        <v>0</v>
      </c>
      <c r="T317" s="21" t="s">
        <v>204</v>
      </c>
      <c r="U317" s="11" t="s">
        <v>204</v>
      </c>
      <c r="V317" s="141">
        <v>45964</v>
      </c>
    </row>
    <row r="318" spans="2:22">
      <c r="B318" s="155" t="s">
        <v>1136</v>
      </c>
      <c r="C318" s="155" t="s">
        <v>432</v>
      </c>
      <c r="D318" s="155" t="s">
        <v>390</v>
      </c>
      <c r="E318" s="186">
        <v>45961</v>
      </c>
      <c r="F318" s="156">
        <v>39790</v>
      </c>
      <c r="G318" s="161">
        <v>4233</v>
      </c>
      <c r="H318" s="419"/>
      <c r="I318" s="162"/>
      <c r="J318" s="144">
        <f t="shared" ref="J318:J337" si="41">+G318-H318-I318</f>
        <v>4233</v>
      </c>
      <c r="K318" s="140"/>
      <c r="L318" s="141">
        <v>45965</v>
      </c>
      <c r="M318" s="145">
        <v>0</v>
      </c>
      <c r="N318" s="145">
        <v>0</v>
      </c>
      <c r="O318" s="140"/>
      <c r="P318" s="21">
        <v>2000</v>
      </c>
      <c r="Q318" s="21">
        <v>2233</v>
      </c>
      <c r="R318" s="21"/>
      <c r="S318" s="146">
        <f t="shared" ref="S318:S322" si="42">+J318-SUM(P318:R318)</f>
        <v>0</v>
      </c>
      <c r="T318" s="21" t="s">
        <v>204</v>
      </c>
      <c r="U318" s="11" t="s">
        <v>204</v>
      </c>
      <c r="V318" s="141">
        <v>45967</v>
      </c>
    </row>
    <row r="319" spans="2:22">
      <c r="B319" s="156" t="s">
        <v>817</v>
      </c>
      <c r="C319" s="156" t="s">
        <v>432</v>
      </c>
      <c r="D319" s="156" t="s">
        <v>390</v>
      </c>
      <c r="E319" s="159">
        <v>45961</v>
      </c>
      <c r="F319" s="156">
        <v>39730</v>
      </c>
      <c r="G319" s="406">
        <v>4808</v>
      </c>
      <c r="H319" s="419"/>
      <c r="I319" s="162"/>
      <c r="J319" s="144">
        <f t="shared" si="41"/>
        <v>4808</v>
      </c>
      <c r="K319" s="140"/>
      <c r="L319" s="141">
        <v>45965</v>
      </c>
      <c r="M319" s="145">
        <v>0</v>
      </c>
      <c r="N319" s="145">
        <v>0</v>
      </c>
      <c r="O319" s="140"/>
      <c r="P319" s="21">
        <v>4808</v>
      </c>
      <c r="Q319" s="50"/>
      <c r="R319" s="21"/>
      <c r="S319" s="146">
        <f t="shared" si="42"/>
        <v>0</v>
      </c>
      <c r="T319" s="21" t="s">
        <v>204</v>
      </c>
      <c r="U319" s="11" t="s">
        <v>204</v>
      </c>
      <c r="V319" s="141">
        <v>45967</v>
      </c>
    </row>
    <row r="320" spans="2:22">
      <c r="B320" s="156" t="s">
        <v>1137</v>
      </c>
      <c r="C320" s="156" t="s">
        <v>432</v>
      </c>
      <c r="D320" s="156" t="s">
        <v>390</v>
      </c>
      <c r="E320" s="159">
        <v>45961</v>
      </c>
      <c r="F320" s="156">
        <v>39750</v>
      </c>
      <c r="G320" s="406">
        <v>6011</v>
      </c>
      <c r="H320" s="419"/>
      <c r="I320" s="162"/>
      <c r="J320" s="144">
        <f t="shared" si="41"/>
        <v>6011</v>
      </c>
      <c r="K320" s="140"/>
      <c r="L320" s="141">
        <v>45965</v>
      </c>
      <c r="M320" s="145">
        <v>0</v>
      </c>
      <c r="N320" s="145">
        <v>0</v>
      </c>
      <c r="O320" s="140"/>
      <c r="P320" s="50">
        <v>6011</v>
      </c>
      <c r="Q320" s="21"/>
      <c r="R320" s="21"/>
      <c r="S320" s="146">
        <f t="shared" si="42"/>
        <v>0</v>
      </c>
      <c r="T320" s="21" t="s">
        <v>204</v>
      </c>
      <c r="U320" s="11" t="s">
        <v>204</v>
      </c>
      <c r="V320" s="141">
        <v>45966</v>
      </c>
    </row>
    <row r="321" spans="2:22">
      <c r="B321" s="156" t="s">
        <v>1140</v>
      </c>
      <c r="C321" s="156" t="s">
        <v>48</v>
      </c>
      <c r="D321" s="156" t="s">
        <v>26</v>
      </c>
      <c r="E321" s="159">
        <v>45961</v>
      </c>
      <c r="F321" s="240" t="s">
        <v>1141</v>
      </c>
      <c r="G321" s="406">
        <v>7590</v>
      </c>
      <c r="H321" s="419"/>
      <c r="I321" s="162"/>
      <c r="J321" s="144">
        <f t="shared" si="41"/>
        <v>7590</v>
      </c>
      <c r="K321" s="140"/>
      <c r="L321" s="141">
        <v>45965</v>
      </c>
      <c r="M321" s="145">
        <v>0</v>
      </c>
      <c r="N321" s="145">
        <v>0</v>
      </c>
      <c r="O321" s="140"/>
      <c r="P321" s="21">
        <v>7590</v>
      </c>
      <c r="Q321" s="21"/>
      <c r="R321" s="21"/>
      <c r="S321" s="146">
        <f t="shared" si="42"/>
        <v>0</v>
      </c>
      <c r="T321" s="21" t="s">
        <v>204</v>
      </c>
      <c r="U321" s="11" t="s">
        <v>204</v>
      </c>
      <c r="V321" s="141">
        <v>45964</v>
      </c>
    </row>
    <row r="322" spans="2:22">
      <c r="B322" s="78" t="s">
        <v>1142</v>
      </c>
      <c r="C322" s="277" t="s">
        <v>31</v>
      </c>
      <c r="D322" s="277" t="s">
        <v>128</v>
      </c>
      <c r="E322" s="110">
        <v>45961</v>
      </c>
      <c r="F322" s="78">
        <v>5330</v>
      </c>
      <c r="G322" s="99">
        <v>104355</v>
      </c>
      <c r="H322" s="340"/>
      <c r="I322" s="154"/>
      <c r="J322" s="144">
        <f t="shared" si="41"/>
        <v>104355</v>
      </c>
      <c r="K322" s="140"/>
      <c r="L322" s="141">
        <v>45977</v>
      </c>
      <c r="M322" s="145">
        <f ca="1">+$A$1-E322</f>
        <v>29</v>
      </c>
      <c r="N322" s="145">
        <f ca="1">$A$1-L322</f>
        <v>13</v>
      </c>
      <c r="O322" s="140"/>
      <c r="P322" s="21">
        <v>53038</v>
      </c>
      <c r="Q322" s="21"/>
      <c r="R322" s="21"/>
      <c r="S322" s="146">
        <f t="shared" si="42"/>
        <v>51317</v>
      </c>
      <c r="T322" s="21"/>
      <c r="U322" s="11"/>
      <c r="V322" s="370"/>
    </row>
    <row r="323" spans="2:22">
      <c r="B323" s="156" t="s">
        <v>194</v>
      </c>
      <c r="C323" s="156" t="s">
        <v>31</v>
      </c>
      <c r="D323" s="156" t="s">
        <v>128</v>
      </c>
      <c r="E323" s="159">
        <v>45961</v>
      </c>
      <c r="F323" s="156">
        <v>5290</v>
      </c>
      <c r="G323" s="161">
        <v>104959</v>
      </c>
      <c r="H323" s="419">
        <v>3959</v>
      </c>
      <c r="I323" s="162"/>
      <c r="J323" s="144">
        <f t="shared" si="41"/>
        <v>101000</v>
      </c>
      <c r="K323" s="140"/>
      <c r="L323" s="141">
        <v>45977</v>
      </c>
      <c r="M323" s="145">
        <v>0</v>
      </c>
      <c r="N323" s="145">
        <v>0</v>
      </c>
      <c r="O323" s="140"/>
      <c r="P323" s="21">
        <v>101000</v>
      </c>
      <c r="Q323" s="21"/>
      <c r="R323" s="21"/>
      <c r="S323" s="146">
        <f t="shared" ref="S323:S327" si="43">+J323-SUM(P323:R323)</f>
        <v>0</v>
      </c>
      <c r="T323" s="21" t="s">
        <v>204</v>
      </c>
      <c r="U323" s="11" t="s">
        <v>204</v>
      </c>
      <c r="V323" s="141">
        <v>45974</v>
      </c>
    </row>
    <row r="324" spans="2:22">
      <c r="B324" s="156" t="s">
        <v>194</v>
      </c>
      <c r="C324" s="156" t="s">
        <v>31</v>
      </c>
      <c r="D324" s="156" t="s">
        <v>128</v>
      </c>
      <c r="E324" s="159">
        <v>45961</v>
      </c>
      <c r="F324" s="156">
        <v>5360</v>
      </c>
      <c r="G324" s="161">
        <v>91002</v>
      </c>
      <c r="H324" s="419">
        <v>2732</v>
      </c>
      <c r="I324" s="162"/>
      <c r="J324" s="144">
        <f t="shared" si="41"/>
        <v>88270</v>
      </c>
      <c r="K324" s="140"/>
      <c r="L324" s="141">
        <v>45977</v>
      </c>
      <c r="M324" s="145">
        <v>0</v>
      </c>
      <c r="N324" s="145">
        <v>0</v>
      </c>
      <c r="O324" s="140"/>
      <c r="P324" s="21">
        <v>88270</v>
      </c>
      <c r="Q324" s="21"/>
      <c r="R324" s="21"/>
      <c r="S324" s="146">
        <f t="shared" si="43"/>
        <v>0</v>
      </c>
      <c r="T324" s="21" t="s">
        <v>204</v>
      </c>
      <c r="U324" s="11" t="s">
        <v>204</v>
      </c>
      <c r="V324" s="141">
        <v>45965</v>
      </c>
    </row>
    <row r="325" spans="2:22">
      <c r="B325" s="156" t="s">
        <v>562</v>
      </c>
      <c r="C325" s="156" t="s">
        <v>31</v>
      </c>
      <c r="D325" s="156" t="s">
        <v>128</v>
      </c>
      <c r="E325" s="159">
        <v>45961</v>
      </c>
      <c r="F325" s="156">
        <v>5350</v>
      </c>
      <c r="G325" s="161">
        <v>176272</v>
      </c>
      <c r="H325" s="419">
        <v>9672</v>
      </c>
      <c r="I325" s="162"/>
      <c r="J325" s="144">
        <f t="shared" si="41"/>
        <v>166600</v>
      </c>
      <c r="K325" s="140"/>
      <c r="L325" s="141">
        <v>45977</v>
      </c>
      <c r="M325" s="145">
        <v>0</v>
      </c>
      <c r="N325" s="145">
        <v>0</v>
      </c>
      <c r="O325" s="140"/>
      <c r="P325" s="50">
        <v>166600</v>
      </c>
      <c r="Q325" s="21"/>
      <c r="R325" s="21"/>
      <c r="S325" s="146">
        <f t="shared" si="43"/>
        <v>0</v>
      </c>
      <c r="T325" s="21" t="s">
        <v>204</v>
      </c>
      <c r="U325" s="11" t="s">
        <v>204</v>
      </c>
      <c r="V325" s="141">
        <v>45967</v>
      </c>
    </row>
    <row r="326" spans="2:22">
      <c r="B326" s="156" t="s">
        <v>223</v>
      </c>
      <c r="C326" s="156" t="s">
        <v>31</v>
      </c>
      <c r="D326" s="156" t="s">
        <v>128</v>
      </c>
      <c r="E326" s="159">
        <v>45961</v>
      </c>
      <c r="F326" s="156">
        <v>5370</v>
      </c>
      <c r="G326" s="161">
        <v>127815</v>
      </c>
      <c r="H326" s="419">
        <v>3834</v>
      </c>
      <c r="I326" s="162"/>
      <c r="J326" s="144">
        <f t="shared" si="41"/>
        <v>123981</v>
      </c>
      <c r="K326" s="140"/>
      <c r="L326" s="141">
        <v>45977</v>
      </c>
      <c r="M326" s="145">
        <v>0</v>
      </c>
      <c r="N326" s="145">
        <v>0</v>
      </c>
      <c r="O326" s="140"/>
      <c r="P326" s="21">
        <v>123981</v>
      </c>
      <c r="Q326" s="21"/>
      <c r="R326" s="21"/>
      <c r="S326" s="146">
        <f t="shared" si="43"/>
        <v>0</v>
      </c>
      <c r="T326" s="21" t="s">
        <v>204</v>
      </c>
      <c r="U326" s="11" t="s">
        <v>204</v>
      </c>
      <c r="V326" s="141">
        <v>45974</v>
      </c>
    </row>
    <row r="327" spans="2:22">
      <c r="B327" s="155" t="s">
        <v>156</v>
      </c>
      <c r="C327" s="156" t="s">
        <v>31</v>
      </c>
      <c r="D327" s="156" t="s">
        <v>128</v>
      </c>
      <c r="E327" s="245">
        <v>45962</v>
      </c>
      <c r="F327" s="156">
        <v>5410</v>
      </c>
      <c r="G327" s="161">
        <v>476016</v>
      </c>
      <c r="H327" s="419">
        <v>14280</v>
      </c>
      <c r="I327" s="162">
        <v>9520</v>
      </c>
      <c r="J327" s="144">
        <f t="shared" si="41"/>
        <v>452216</v>
      </c>
      <c r="K327" s="140"/>
      <c r="L327" s="141">
        <v>45977</v>
      </c>
      <c r="M327" s="145">
        <v>0</v>
      </c>
      <c r="N327" s="145">
        <v>0</v>
      </c>
      <c r="O327" s="140"/>
      <c r="P327" s="50">
        <v>200000</v>
      </c>
      <c r="Q327" s="21">
        <v>252216</v>
      </c>
      <c r="R327" s="21"/>
      <c r="S327" s="146">
        <f t="shared" si="43"/>
        <v>0</v>
      </c>
      <c r="T327" s="21" t="s">
        <v>204</v>
      </c>
      <c r="U327" s="11" t="s">
        <v>204</v>
      </c>
      <c r="V327" s="141">
        <v>45976</v>
      </c>
    </row>
    <row r="328" spans="2:22">
      <c r="B328" s="155" t="s">
        <v>895</v>
      </c>
      <c r="C328" s="156" t="s">
        <v>31</v>
      </c>
      <c r="D328" s="156" t="s">
        <v>128</v>
      </c>
      <c r="E328" s="245">
        <v>45962</v>
      </c>
      <c r="F328" s="156">
        <v>5420</v>
      </c>
      <c r="G328" s="161">
        <v>10747</v>
      </c>
      <c r="H328" s="419">
        <v>217</v>
      </c>
      <c r="I328" s="162"/>
      <c r="J328" s="144">
        <f t="shared" si="41"/>
        <v>10530</v>
      </c>
      <c r="K328" s="140"/>
      <c r="L328" s="141">
        <v>45977</v>
      </c>
      <c r="M328" s="145">
        <v>0</v>
      </c>
      <c r="N328" s="145">
        <v>0</v>
      </c>
      <c r="O328" s="140"/>
      <c r="P328" s="21">
        <v>10530</v>
      </c>
      <c r="Q328" s="21"/>
      <c r="R328" s="21"/>
      <c r="S328" s="146">
        <f t="shared" ref="S328:S332" si="44">+J328-SUM(P328:R328)</f>
        <v>0</v>
      </c>
      <c r="T328" s="21" t="s">
        <v>204</v>
      </c>
      <c r="U328" s="11" t="s">
        <v>204</v>
      </c>
      <c r="V328" s="141">
        <v>45969</v>
      </c>
    </row>
    <row r="329" spans="2:22">
      <c r="B329" s="155" t="s">
        <v>157</v>
      </c>
      <c r="C329" s="156" t="s">
        <v>31</v>
      </c>
      <c r="D329" s="156" t="s">
        <v>128</v>
      </c>
      <c r="E329" s="245">
        <v>45962</v>
      </c>
      <c r="F329" s="156">
        <v>5400</v>
      </c>
      <c r="G329" s="161">
        <v>92440</v>
      </c>
      <c r="H329" s="419">
        <v>2773</v>
      </c>
      <c r="I329" s="162"/>
      <c r="J329" s="144">
        <f t="shared" si="41"/>
        <v>89667</v>
      </c>
      <c r="K329" s="140"/>
      <c r="L329" s="141">
        <v>45977</v>
      </c>
      <c r="M329" s="145">
        <v>0</v>
      </c>
      <c r="N329" s="145">
        <v>0</v>
      </c>
      <c r="O329" s="140"/>
      <c r="P329" s="21">
        <v>53000</v>
      </c>
      <c r="Q329" s="50">
        <v>36667</v>
      </c>
      <c r="R329" s="21"/>
      <c r="S329" s="146">
        <f t="shared" si="44"/>
        <v>0</v>
      </c>
      <c r="T329" s="21" t="s">
        <v>204</v>
      </c>
      <c r="U329" s="11" t="s">
        <v>204</v>
      </c>
      <c r="V329" s="141">
        <v>45975</v>
      </c>
    </row>
    <row r="330" spans="2:22">
      <c r="B330" s="155" t="s">
        <v>1021</v>
      </c>
      <c r="C330" s="155" t="s">
        <v>63</v>
      </c>
      <c r="D330" s="155" t="s">
        <v>64</v>
      </c>
      <c r="E330" s="245">
        <v>45964</v>
      </c>
      <c r="F330" s="304" t="s">
        <v>1148</v>
      </c>
      <c r="G330" s="158">
        <v>17480</v>
      </c>
      <c r="H330" s="419"/>
      <c r="I330" s="162"/>
      <c r="J330" s="144">
        <f t="shared" si="41"/>
        <v>17480</v>
      </c>
      <c r="K330" s="140"/>
      <c r="L330" s="141">
        <v>45972</v>
      </c>
      <c r="M330" s="145">
        <v>0</v>
      </c>
      <c r="N330" s="145">
        <v>0</v>
      </c>
      <c r="O330" s="140"/>
      <c r="P330" s="50">
        <v>17480</v>
      </c>
      <c r="Q330" s="21"/>
      <c r="R330" s="21"/>
      <c r="S330" s="146">
        <f t="shared" si="44"/>
        <v>0</v>
      </c>
      <c r="T330" s="21" t="s">
        <v>204</v>
      </c>
      <c r="U330" s="11" t="s">
        <v>204</v>
      </c>
      <c r="V330" s="141">
        <v>45978</v>
      </c>
    </row>
    <row r="331" spans="2:22">
      <c r="B331" s="155" t="s">
        <v>533</v>
      </c>
      <c r="C331" s="155" t="s">
        <v>63</v>
      </c>
      <c r="D331" s="155" t="s">
        <v>64</v>
      </c>
      <c r="E331" s="245">
        <v>45964</v>
      </c>
      <c r="F331" s="240" t="s">
        <v>1149</v>
      </c>
      <c r="G331" s="158">
        <v>5666</v>
      </c>
      <c r="H331" s="419"/>
      <c r="I331" s="162"/>
      <c r="J331" s="144">
        <f t="shared" si="41"/>
        <v>5666</v>
      </c>
      <c r="K331" s="140"/>
      <c r="L331" s="141">
        <v>45972</v>
      </c>
      <c r="M331" s="145">
        <v>0</v>
      </c>
      <c r="N331" s="145">
        <v>0</v>
      </c>
      <c r="O331" s="140"/>
      <c r="P331" s="21">
        <v>5666</v>
      </c>
      <c r="Q331" s="21"/>
      <c r="R331" s="21"/>
      <c r="S331" s="146">
        <f t="shared" si="44"/>
        <v>0</v>
      </c>
      <c r="T331" s="21" t="s">
        <v>204</v>
      </c>
      <c r="U331" s="11" t="s">
        <v>204</v>
      </c>
      <c r="V331" s="141">
        <v>45971</v>
      </c>
    </row>
    <row r="332" spans="2:22">
      <c r="B332" s="155" t="s">
        <v>149</v>
      </c>
      <c r="C332" s="156" t="s">
        <v>31</v>
      </c>
      <c r="D332" s="156" t="s">
        <v>128</v>
      </c>
      <c r="E332" s="245">
        <v>45964</v>
      </c>
      <c r="F332" s="156">
        <v>5500</v>
      </c>
      <c r="G332" s="161">
        <v>36243</v>
      </c>
      <c r="H332" s="419">
        <v>614</v>
      </c>
      <c r="I332" s="162"/>
      <c r="J332" s="144">
        <f t="shared" si="41"/>
        <v>35629</v>
      </c>
      <c r="K332" s="140"/>
      <c r="L332" s="141">
        <v>45979</v>
      </c>
      <c r="M332" s="145">
        <v>0</v>
      </c>
      <c r="N332" s="145">
        <v>0</v>
      </c>
      <c r="O332" s="140"/>
      <c r="P332" s="21">
        <v>35629</v>
      </c>
      <c r="Q332" s="21"/>
      <c r="R332" s="21"/>
      <c r="S332" s="146">
        <f t="shared" si="44"/>
        <v>0</v>
      </c>
      <c r="T332" s="21" t="s">
        <v>204</v>
      </c>
      <c r="U332" s="11" t="s">
        <v>204</v>
      </c>
      <c r="V332" s="141">
        <v>45969</v>
      </c>
    </row>
    <row r="333" spans="2:22">
      <c r="B333" s="11" t="s">
        <v>507</v>
      </c>
      <c r="C333" s="277" t="s">
        <v>31</v>
      </c>
      <c r="D333" s="277" t="s">
        <v>128</v>
      </c>
      <c r="E333" s="141">
        <v>45964</v>
      </c>
      <c r="F333" s="78">
        <v>5460</v>
      </c>
      <c r="G333" s="99">
        <v>80607</v>
      </c>
      <c r="H333" s="340"/>
      <c r="I333" s="154"/>
      <c r="J333" s="144">
        <f t="shared" si="41"/>
        <v>80607</v>
      </c>
      <c r="K333" s="140"/>
      <c r="L333" s="141">
        <v>45979</v>
      </c>
      <c r="M333" s="145">
        <f ca="1">+$A$1-E333</f>
        <v>26</v>
      </c>
      <c r="N333" s="145">
        <f ca="1">$A$1-L333</f>
        <v>11</v>
      </c>
      <c r="O333" s="140"/>
      <c r="P333" s="21"/>
      <c r="Q333" s="21"/>
      <c r="R333" s="21"/>
      <c r="S333" s="146">
        <f t="shared" ref="S333:S337" si="45">+J333-SUM(P333:R333)</f>
        <v>80607</v>
      </c>
      <c r="T333" s="21"/>
      <c r="U333" s="11"/>
      <c r="V333" s="194"/>
    </row>
    <row r="334" spans="2:22">
      <c r="B334" s="155" t="s">
        <v>817</v>
      </c>
      <c r="C334" s="155" t="s">
        <v>63</v>
      </c>
      <c r="D334" s="155" t="s">
        <v>64</v>
      </c>
      <c r="E334" s="245">
        <v>45965</v>
      </c>
      <c r="F334" s="240" t="s">
        <v>1158</v>
      </c>
      <c r="G334" s="158">
        <v>3461</v>
      </c>
      <c r="H334" s="419"/>
      <c r="I334" s="162"/>
      <c r="J334" s="144">
        <f t="shared" si="41"/>
        <v>3461</v>
      </c>
      <c r="K334" s="140"/>
      <c r="L334" s="141">
        <v>45972</v>
      </c>
      <c r="M334" s="145">
        <v>0</v>
      </c>
      <c r="N334" s="145">
        <v>0</v>
      </c>
      <c r="O334" s="140"/>
      <c r="P334" s="21">
        <v>3461</v>
      </c>
      <c r="Q334" s="21"/>
      <c r="R334" s="21"/>
      <c r="S334" s="146">
        <f t="shared" si="45"/>
        <v>0</v>
      </c>
      <c r="T334" s="21" t="s">
        <v>204</v>
      </c>
      <c r="U334" s="11" t="s">
        <v>204</v>
      </c>
      <c r="V334" s="141">
        <v>45968</v>
      </c>
    </row>
    <row r="335" spans="2:22">
      <c r="B335" s="155" t="s">
        <v>1165</v>
      </c>
      <c r="C335" s="155" t="s">
        <v>56</v>
      </c>
      <c r="D335" s="155" t="s">
        <v>31</v>
      </c>
      <c r="E335" s="245">
        <v>45965</v>
      </c>
      <c r="F335" s="304" t="s">
        <v>1166</v>
      </c>
      <c r="G335" s="158">
        <v>2559</v>
      </c>
      <c r="H335" s="419"/>
      <c r="I335" s="162"/>
      <c r="J335" s="144">
        <f t="shared" si="41"/>
        <v>2559</v>
      </c>
      <c r="K335" s="140"/>
      <c r="L335" s="141">
        <v>45972</v>
      </c>
      <c r="M335" s="145">
        <v>0</v>
      </c>
      <c r="N335" s="145">
        <v>0</v>
      </c>
      <c r="O335" s="140"/>
      <c r="P335" s="50">
        <v>2559</v>
      </c>
      <c r="Q335" s="21"/>
      <c r="R335" s="21"/>
      <c r="S335" s="146">
        <f t="shared" si="45"/>
        <v>0</v>
      </c>
      <c r="T335" s="21" t="s">
        <v>204</v>
      </c>
      <c r="U335" s="11" t="s">
        <v>204</v>
      </c>
      <c r="V335" s="141">
        <v>45972</v>
      </c>
    </row>
    <row r="336" spans="2:22">
      <c r="B336" s="11" t="s">
        <v>1211</v>
      </c>
      <c r="C336" s="277" t="s">
        <v>31</v>
      </c>
      <c r="D336" s="277" t="s">
        <v>128</v>
      </c>
      <c r="E336" s="141">
        <v>45967</v>
      </c>
      <c r="F336" s="78">
        <v>5570</v>
      </c>
      <c r="G336" s="99">
        <v>40983</v>
      </c>
      <c r="H336" s="340"/>
      <c r="I336" s="154"/>
      <c r="J336" s="144">
        <f t="shared" si="41"/>
        <v>40983</v>
      </c>
      <c r="K336" s="140"/>
      <c r="L336" s="141">
        <v>45982</v>
      </c>
      <c r="M336" s="145">
        <f ca="1">+$A$1-E336</f>
        <v>23</v>
      </c>
      <c r="N336" s="145">
        <f ca="1">$A$1-L336</f>
        <v>8</v>
      </c>
      <c r="O336" s="140"/>
      <c r="P336" s="21">
        <v>10000</v>
      </c>
      <c r="Q336" s="21">
        <v>15000</v>
      </c>
      <c r="R336" s="21"/>
      <c r="S336" s="146">
        <f t="shared" si="45"/>
        <v>15983</v>
      </c>
      <c r="T336" s="21"/>
      <c r="U336" s="11"/>
      <c r="V336" s="194"/>
    </row>
    <row r="337" spans="2:22">
      <c r="B337" s="155" t="s">
        <v>305</v>
      </c>
      <c r="C337" s="156" t="s">
        <v>31</v>
      </c>
      <c r="D337" s="156" t="s">
        <v>128</v>
      </c>
      <c r="E337" s="245">
        <v>45967</v>
      </c>
      <c r="F337" s="156">
        <v>5600</v>
      </c>
      <c r="G337" s="161">
        <v>37595</v>
      </c>
      <c r="H337" s="419">
        <v>1125</v>
      </c>
      <c r="I337" s="162"/>
      <c r="J337" s="144">
        <f t="shared" si="41"/>
        <v>36470</v>
      </c>
      <c r="K337" s="140"/>
      <c r="L337" s="141">
        <v>45982</v>
      </c>
      <c r="M337" s="145">
        <v>0</v>
      </c>
      <c r="N337" s="145">
        <v>0</v>
      </c>
      <c r="O337" s="140"/>
      <c r="P337" s="21">
        <v>36470</v>
      </c>
      <c r="Q337" s="21"/>
      <c r="R337" s="21"/>
      <c r="S337" s="146">
        <f t="shared" si="45"/>
        <v>0</v>
      </c>
      <c r="T337" s="21" t="s">
        <v>204</v>
      </c>
      <c r="U337" s="11" t="s">
        <v>204</v>
      </c>
      <c r="V337" s="141">
        <v>45975</v>
      </c>
    </row>
    <row r="338" spans="2:22">
      <c r="B338" s="11" t="s">
        <v>516</v>
      </c>
      <c r="C338" s="277" t="s">
        <v>31</v>
      </c>
      <c r="D338" s="277" t="s">
        <v>128</v>
      </c>
      <c r="E338" s="141">
        <v>45967</v>
      </c>
      <c r="F338" s="78">
        <v>5610</v>
      </c>
      <c r="G338" s="99">
        <v>31771</v>
      </c>
      <c r="H338" s="340"/>
      <c r="I338" s="154"/>
      <c r="J338" s="144">
        <f t="shared" ref="J338:J353" si="46">+G338-H338-I338</f>
        <v>31771</v>
      </c>
      <c r="K338" s="140"/>
      <c r="L338" s="141">
        <v>45982</v>
      </c>
      <c r="M338" s="145">
        <f ca="1">+$A$1-E338</f>
        <v>23</v>
      </c>
      <c r="N338" s="145">
        <f ca="1">$A$1-L338</f>
        <v>8</v>
      </c>
      <c r="O338" s="140"/>
      <c r="P338" s="21"/>
      <c r="Q338" s="21"/>
      <c r="R338" s="21"/>
      <c r="S338" s="146">
        <f t="shared" ref="S338:S342" si="47">+J338-SUM(P338:R338)</f>
        <v>31771</v>
      </c>
      <c r="T338" s="21"/>
      <c r="U338" s="11"/>
      <c r="V338" s="194"/>
    </row>
    <row r="339" spans="2:22">
      <c r="B339" s="155" t="s">
        <v>442</v>
      </c>
      <c r="C339" s="156" t="s">
        <v>31</v>
      </c>
      <c r="D339" s="156" t="s">
        <v>128</v>
      </c>
      <c r="E339" s="245">
        <v>45967</v>
      </c>
      <c r="F339" s="156">
        <v>5550</v>
      </c>
      <c r="G339" s="161">
        <v>25162</v>
      </c>
      <c r="H339" s="419">
        <v>504</v>
      </c>
      <c r="I339" s="162"/>
      <c r="J339" s="144">
        <f t="shared" si="46"/>
        <v>24658</v>
      </c>
      <c r="K339" s="140"/>
      <c r="L339" s="141">
        <v>45982</v>
      </c>
      <c r="M339" s="145">
        <v>0</v>
      </c>
      <c r="N339" s="145">
        <v>0</v>
      </c>
      <c r="O339" s="140"/>
      <c r="P339" s="21">
        <v>24658</v>
      </c>
      <c r="Q339" s="50"/>
      <c r="R339" s="21"/>
      <c r="S339" s="146">
        <f t="shared" si="47"/>
        <v>0</v>
      </c>
      <c r="T339" s="21" t="s">
        <v>204</v>
      </c>
      <c r="U339" s="11" t="s">
        <v>204</v>
      </c>
      <c r="V339" s="141">
        <v>45974</v>
      </c>
    </row>
    <row r="340" spans="2:22">
      <c r="B340" s="155" t="s">
        <v>167</v>
      </c>
      <c r="C340" s="155" t="s">
        <v>48</v>
      </c>
      <c r="D340" s="155" t="s">
        <v>26</v>
      </c>
      <c r="E340" s="245">
        <v>45967</v>
      </c>
      <c r="F340" s="156">
        <v>2090</v>
      </c>
      <c r="G340" s="161">
        <v>16596</v>
      </c>
      <c r="H340" s="419"/>
      <c r="I340" s="162"/>
      <c r="J340" s="144">
        <f t="shared" si="46"/>
        <v>16596</v>
      </c>
      <c r="K340" s="140"/>
      <c r="L340" s="141">
        <v>45982</v>
      </c>
      <c r="M340" s="145">
        <v>0</v>
      </c>
      <c r="N340" s="145">
        <v>0</v>
      </c>
      <c r="O340" s="140"/>
      <c r="P340" s="50">
        <v>16596</v>
      </c>
      <c r="Q340" s="21"/>
      <c r="R340" s="21"/>
      <c r="S340" s="146">
        <f t="shared" si="47"/>
        <v>0</v>
      </c>
      <c r="T340" s="21" t="s">
        <v>204</v>
      </c>
      <c r="U340" s="11" t="s">
        <v>204</v>
      </c>
      <c r="V340" s="141">
        <v>45971</v>
      </c>
    </row>
    <row r="341" spans="2:22">
      <c r="B341" s="155" t="s">
        <v>223</v>
      </c>
      <c r="C341" s="155" t="s">
        <v>31</v>
      </c>
      <c r="D341" s="156" t="s">
        <v>128</v>
      </c>
      <c r="E341" s="245">
        <v>45968</v>
      </c>
      <c r="F341" s="156">
        <v>5640</v>
      </c>
      <c r="G341" s="161">
        <v>50332</v>
      </c>
      <c r="H341" s="419">
        <v>1510</v>
      </c>
      <c r="I341" s="162"/>
      <c r="J341" s="144">
        <f t="shared" si="46"/>
        <v>48822</v>
      </c>
      <c r="K341" s="140"/>
      <c r="L341" s="141">
        <v>45982</v>
      </c>
      <c r="M341" s="145">
        <v>0</v>
      </c>
      <c r="N341" s="145">
        <v>0</v>
      </c>
      <c r="O341" s="140"/>
      <c r="P341" s="21">
        <v>48822</v>
      </c>
      <c r="Q341" s="21"/>
      <c r="R341" s="21"/>
      <c r="S341" s="146">
        <f t="shared" si="47"/>
        <v>0</v>
      </c>
      <c r="T341" s="21" t="s">
        <v>204</v>
      </c>
      <c r="U341" s="11" t="s">
        <v>204</v>
      </c>
      <c r="V341" s="141">
        <v>45974</v>
      </c>
    </row>
    <row r="342" spans="2:22">
      <c r="B342" s="155" t="s">
        <v>882</v>
      </c>
      <c r="C342" s="155" t="s">
        <v>31</v>
      </c>
      <c r="D342" s="156" t="s">
        <v>128</v>
      </c>
      <c r="E342" s="245">
        <v>45968</v>
      </c>
      <c r="F342" s="156">
        <v>5630</v>
      </c>
      <c r="G342" s="161">
        <v>135391</v>
      </c>
      <c r="H342" s="419">
        <v>4062</v>
      </c>
      <c r="I342" s="162"/>
      <c r="J342" s="144">
        <f t="shared" si="46"/>
        <v>131329</v>
      </c>
      <c r="K342" s="140"/>
      <c r="L342" s="141">
        <v>45982</v>
      </c>
      <c r="M342" s="145">
        <v>0</v>
      </c>
      <c r="N342" s="145">
        <v>0</v>
      </c>
      <c r="O342" s="140"/>
      <c r="P342" s="21">
        <v>131329</v>
      </c>
      <c r="Q342" s="21"/>
      <c r="R342" s="21"/>
      <c r="S342" s="146">
        <f t="shared" si="47"/>
        <v>0</v>
      </c>
      <c r="T342" s="21" t="s">
        <v>204</v>
      </c>
      <c r="U342" s="11" t="s">
        <v>204</v>
      </c>
      <c r="V342" s="141">
        <v>45978</v>
      </c>
    </row>
    <row r="343" spans="2:22">
      <c r="B343" s="155" t="s">
        <v>90</v>
      </c>
      <c r="C343" s="155" t="s">
        <v>31</v>
      </c>
      <c r="D343" s="156" t="s">
        <v>128</v>
      </c>
      <c r="E343" s="245">
        <v>45968</v>
      </c>
      <c r="F343" s="156">
        <v>5650</v>
      </c>
      <c r="G343" s="161">
        <v>50870</v>
      </c>
      <c r="H343" s="419">
        <v>1526</v>
      </c>
      <c r="I343" s="162"/>
      <c r="J343" s="144">
        <f t="shared" si="46"/>
        <v>49344</v>
      </c>
      <c r="K343" s="140"/>
      <c r="L343" s="141">
        <v>45982</v>
      </c>
      <c r="M343" s="145">
        <v>0</v>
      </c>
      <c r="N343" s="145">
        <v>0</v>
      </c>
      <c r="O343" s="140"/>
      <c r="P343" s="21">
        <v>49344</v>
      </c>
      <c r="Q343" s="21"/>
      <c r="R343" s="21"/>
      <c r="S343" s="146">
        <f t="shared" ref="S343:S348" si="48">+J343-SUM(P343:R343)</f>
        <v>0</v>
      </c>
      <c r="T343" s="21" t="s">
        <v>204</v>
      </c>
      <c r="U343" s="11" t="s">
        <v>204</v>
      </c>
      <c r="V343" s="141">
        <v>45974</v>
      </c>
    </row>
    <row r="344" spans="2:22">
      <c r="B344" s="155" t="s">
        <v>1218</v>
      </c>
      <c r="C344" s="155" t="s">
        <v>63</v>
      </c>
      <c r="D344" s="155" t="s">
        <v>64</v>
      </c>
      <c r="E344" s="245">
        <v>45968</v>
      </c>
      <c r="F344" s="156">
        <v>43200</v>
      </c>
      <c r="G344" s="161">
        <v>10577</v>
      </c>
      <c r="H344" s="419"/>
      <c r="I344" s="162"/>
      <c r="J344" s="144">
        <f t="shared" si="46"/>
        <v>10577</v>
      </c>
      <c r="K344" s="140"/>
      <c r="L344" s="141">
        <v>45976</v>
      </c>
      <c r="M344" s="145">
        <v>0</v>
      </c>
      <c r="N344" s="145">
        <v>0</v>
      </c>
      <c r="O344" s="140"/>
      <c r="P344" s="21">
        <v>10577</v>
      </c>
      <c r="Q344" s="21"/>
      <c r="R344" s="21"/>
      <c r="S344" s="146">
        <f t="shared" si="48"/>
        <v>0</v>
      </c>
      <c r="T344" s="21" t="s">
        <v>204</v>
      </c>
      <c r="U344" s="11" t="s">
        <v>204</v>
      </c>
      <c r="V344" s="141">
        <v>45969</v>
      </c>
    </row>
    <row r="345" spans="2:22">
      <c r="B345" s="155" t="s">
        <v>1219</v>
      </c>
      <c r="C345" s="155" t="s">
        <v>432</v>
      </c>
      <c r="D345" s="155" t="s">
        <v>390</v>
      </c>
      <c r="E345" s="245">
        <v>45968</v>
      </c>
      <c r="F345" s="156">
        <v>2290</v>
      </c>
      <c r="G345" s="161">
        <v>5683</v>
      </c>
      <c r="H345" s="419"/>
      <c r="I345" s="162"/>
      <c r="J345" s="144">
        <f t="shared" si="46"/>
        <v>5683</v>
      </c>
      <c r="K345" s="140"/>
      <c r="L345" s="141">
        <v>45976</v>
      </c>
      <c r="M345" s="145">
        <v>0</v>
      </c>
      <c r="N345" s="145">
        <v>0</v>
      </c>
      <c r="O345" s="140"/>
      <c r="P345" s="21">
        <v>5680</v>
      </c>
      <c r="Q345" s="50"/>
      <c r="R345" s="21"/>
      <c r="S345" s="146">
        <v>0</v>
      </c>
      <c r="T345" s="21" t="s">
        <v>204</v>
      </c>
      <c r="U345" s="11" t="s">
        <v>204</v>
      </c>
      <c r="V345" s="141">
        <v>45981</v>
      </c>
    </row>
    <row r="346" spans="2:22">
      <c r="B346" s="155" t="s">
        <v>1375</v>
      </c>
      <c r="C346" s="155" t="s">
        <v>432</v>
      </c>
      <c r="D346" s="155" t="s">
        <v>390</v>
      </c>
      <c r="E346" s="245">
        <v>45968</v>
      </c>
      <c r="F346" s="156">
        <v>4280</v>
      </c>
      <c r="G346" s="161">
        <v>23351</v>
      </c>
      <c r="H346" s="419"/>
      <c r="I346" s="162"/>
      <c r="J346" s="144">
        <f t="shared" si="46"/>
        <v>23351</v>
      </c>
      <c r="K346" s="140"/>
      <c r="L346" s="141">
        <v>45976</v>
      </c>
      <c r="M346" s="145">
        <v>0</v>
      </c>
      <c r="N346" s="145">
        <v>0</v>
      </c>
      <c r="O346" s="140"/>
      <c r="P346" s="50">
        <v>23351</v>
      </c>
      <c r="Q346" s="21"/>
      <c r="R346" s="21"/>
      <c r="S346" s="146">
        <f t="shared" si="48"/>
        <v>0</v>
      </c>
      <c r="T346" s="21"/>
      <c r="U346" s="11" t="s">
        <v>204</v>
      </c>
      <c r="V346" s="141">
        <v>45988</v>
      </c>
    </row>
    <row r="347" spans="2:22">
      <c r="B347" s="155" t="s">
        <v>1085</v>
      </c>
      <c r="C347" s="155" t="s">
        <v>56</v>
      </c>
      <c r="D347" s="155" t="s">
        <v>31</v>
      </c>
      <c r="E347" s="245">
        <v>45969</v>
      </c>
      <c r="F347" s="240" t="s">
        <v>1237</v>
      </c>
      <c r="G347" s="158">
        <v>6490</v>
      </c>
      <c r="H347" s="419"/>
      <c r="I347" s="162"/>
      <c r="J347" s="144">
        <f t="shared" si="46"/>
        <v>6490</v>
      </c>
      <c r="K347" s="140"/>
      <c r="L347" s="141">
        <v>45972</v>
      </c>
      <c r="M347" s="145">
        <v>0</v>
      </c>
      <c r="N347" s="145">
        <v>0</v>
      </c>
      <c r="O347" s="140"/>
      <c r="P347" s="21">
        <v>6490</v>
      </c>
      <c r="Q347" s="21"/>
      <c r="R347" s="21"/>
      <c r="S347" s="146">
        <f t="shared" si="48"/>
        <v>0</v>
      </c>
      <c r="T347" s="21" t="s">
        <v>204</v>
      </c>
      <c r="U347" s="11" t="s">
        <v>204</v>
      </c>
      <c r="V347" s="141">
        <v>45978</v>
      </c>
    </row>
    <row r="348" spans="2:22">
      <c r="B348" s="155" t="s">
        <v>157</v>
      </c>
      <c r="C348" s="155" t="s">
        <v>31</v>
      </c>
      <c r="D348" s="156" t="s">
        <v>128</v>
      </c>
      <c r="E348" s="245">
        <v>45969</v>
      </c>
      <c r="F348" s="240" t="s">
        <v>1240</v>
      </c>
      <c r="G348" s="161">
        <v>60850</v>
      </c>
      <c r="H348" s="419">
        <v>1820</v>
      </c>
      <c r="I348" s="162"/>
      <c r="J348" s="144">
        <f t="shared" si="46"/>
        <v>59030</v>
      </c>
      <c r="K348" s="140"/>
      <c r="L348" s="141">
        <v>45984</v>
      </c>
      <c r="M348" s="145">
        <v>0</v>
      </c>
      <c r="N348" s="145">
        <v>0</v>
      </c>
      <c r="O348" s="140"/>
      <c r="P348" s="21">
        <v>59030</v>
      </c>
      <c r="Q348" s="21"/>
      <c r="R348" s="21"/>
      <c r="S348" s="146">
        <f t="shared" si="48"/>
        <v>0</v>
      </c>
      <c r="T348" s="21" t="s">
        <v>204</v>
      </c>
      <c r="U348" s="11" t="s">
        <v>204</v>
      </c>
      <c r="V348" s="141">
        <v>45981</v>
      </c>
    </row>
    <row r="349" spans="2:22">
      <c r="B349" s="11" t="s">
        <v>1238</v>
      </c>
      <c r="C349" s="30" t="s">
        <v>31</v>
      </c>
      <c r="D349" s="277" t="s">
        <v>128</v>
      </c>
      <c r="E349" s="141">
        <v>45969</v>
      </c>
      <c r="F349" s="275" t="s">
        <v>1241</v>
      </c>
      <c r="G349" s="99">
        <v>33461</v>
      </c>
      <c r="H349" s="340"/>
      <c r="I349" s="154"/>
      <c r="J349" s="144">
        <f t="shared" si="46"/>
        <v>33461</v>
      </c>
      <c r="K349" s="140"/>
      <c r="L349" s="141">
        <v>45984</v>
      </c>
      <c r="M349" s="145">
        <f ca="1">+$A$1-E349</f>
        <v>21</v>
      </c>
      <c r="N349" s="145">
        <f ca="1">$A$1-L349</f>
        <v>6</v>
      </c>
      <c r="O349" s="140"/>
      <c r="P349" s="21"/>
      <c r="Q349" s="21"/>
      <c r="R349" s="21"/>
      <c r="S349" s="146">
        <f t="shared" ref="S349:S353" si="49">+J349-SUM(P349:R349)</f>
        <v>33461</v>
      </c>
      <c r="T349" s="21"/>
      <c r="U349" s="11"/>
      <c r="V349" s="194"/>
    </row>
    <row r="350" spans="2:22">
      <c r="B350" s="11" t="s">
        <v>895</v>
      </c>
      <c r="C350" s="30" t="s">
        <v>31</v>
      </c>
      <c r="D350" s="277" t="s">
        <v>128</v>
      </c>
      <c r="E350" s="141">
        <v>45969</v>
      </c>
      <c r="F350" s="275" t="s">
        <v>1239</v>
      </c>
      <c r="G350" s="99">
        <v>10293</v>
      </c>
      <c r="H350" s="340"/>
      <c r="I350" s="154"/>
      <c r="J350" s="144">
        <f t="shared" si="46"/>
        <v>10293</v>
      </c>
      <c r="K350" s="140"/>
      <c r="L350" s="141">
        <v>45984</v>
      </c>
      <c r="M350" s="145">
        <f ca="1">+$A$1-E350</f>
        <v>21</v>
      </c>
      <c r="N350" s="145">
        <f ca="1">$A$1-L350</f>
        <v>6</v>
      </c>
      <c r="O350" s="140"/>
      <c r="P350" s="21"/>
      <c r="Q350" s="21"/>
      <c r="R350" s="21"/>
      <c r="S350" s="146">
        <f t="shared" si="49"/>
        <v>10293</v>
      </c>
      <c r="T350" s="21"/>
      <c r="U350" s="11"/>
      <c r="V350" s="405"/>
    </row>
    <row r="351" spans="2:22">
      <c r="B351" t="s">
        <v>43</v>
      </c>
      <c r="C351" s="30" t="s">
        <v>31</v>
      </c>
      <c r="D351" s="277" t="s">
        <v>128</v>
      </c>
      <c r="E351" s="141">
        <v>45969</v>
      </c>
      <c r="F351" s="276" t="s">
        <v>1244</v>
      </c>
      <c r="G351" s="80">
        <v>566893</v>
      </c>
      <c r="H351" s="340">
        <v>17006</v>
      </c>
      <c r="I351" s="154">
        <v>5669</v>
      </c>
      <c r="J351" s="144">
        <f t="shared" si="46"/>
        <v>544218</v>
      </c>
      <c r="K351" s="140"/>
      <c r="L351" s="141">
        <v>45984</v>
      </c>
      <c r="M351" s="145">
        <f ca="1">+$A$1-E351</f>
        <v>21</v>
      </c>
      <c r="N351" s="145">
        <f ca="1">$A$1-L351</f>
        <v>6</v>
      </c>
      <c r="O351" s="140"/>
      <c r="P351" s="50">
        <v>100000</v>
      </c>
      <c r="Q351" s="21">
        <v>150000</v>
      </c>
      <c r="R351" s="50">
        <f>150000+144040</f>
        <v>294040</v>
      </c>
      <c r="S351" s="146">
        <f t="shared" si="49"/>
        <v>178</v>
      </c>
      <c r="T351" s="21"/>
      <c r="U351" s="11"/>
      <c r="V351" s="194"/>
    </row>
    <row r="352" spans="2:22">
      <c r="B352" s="155" t="s">
        <v>1003</v>
      </c>
      <c r="C352" s="155" t="s">
        <v>31</v>
      </c>
      <c r="D352" s="155" t="s">
        <v>128</v>
      </c>
      <c r="E352" s="245">
        <v>45969</v>
      </c>
      <c r="F352" s="240" t="s">
        <v>1245</v>
      </c>
      <c r="G352" s="158">
        <v>144197</v>
      </c>
      <c r="H352" s="419">
        <v>5768</v>
      </c>
      <c r="I352" s="162">
        <v>1442</v>
      </c>
      <c r="J352" s="144">
        <f t="shared" si="46"/>
        <v>136987</v>
      </c>
      <c r="K352" s="140"/>
      <c r="L352" s="141">
        <v>45969</v>
      </c>
      <c r="M352" s="145">
        <v>0</v>
      </c>
      <c r="N352" s="145">
        <v>0</v>
      </c>
      <c r="O352" s="140"/>
      <c r="P352" s="21">
        <v>136987</v>
      </c>
      <c r="Q352" s="21"/>
      <c r="R352" s="21"/>
      <c r="S352" s="146">
        <f t="shared" si="49"/>
        <v>0</v>
      </c>
      <c r="T352" s="21" t="s">
        <v>204</v>
      </c>
      <c r="U352" s="11" t="s">
        <v>204</v>
      </c>
      <c r="V352" s="141">
        <v>45969</v>
      </c>
    </row>
    <row r="353" spans="2:22">
      <c r="B353" s="155" t="s">
        <v>533</v>
      </c>
      <c r="C353" s="155" t="s">
        <v>56</v>
      </c>
      <c r="D353" s="155" t="s">
        <v>31</v>
      </c>
      <c r="E353" s="245">
        <v>45971</v>
      </c>
      <c r="F353" s="240" t="s">
        <v>1276</v>
      </c>
      <c r="G353" s="161">
        <v>5133</v>
      </c>
      <c r="H353" s="419"/>
      <c r="I353" s="162"/>
      <c r="J353" s="144">
        <f t="shared" si="46"/>
        <v>5133</v>
      </c>
      <c r="K353" s="140"/>
      <c r="L353" s="141">
        <v>45976</v>
      </c>
      <c r="M353" s="145">
        <v>0</v>
      </c>
      <c r="N353" s="145">
        <v>0</v>
      </c>
      <c r="O353" s="140"/>
      <c r="P353" s="21">
        <v>5133</v>
      </c>
      <c r="Q353" s="21"/>
      <c r="R353" s="21"/>
      <c r="S353" s="146">
        <f t="shared" si="49"/>
        <v>0</v>
      </c>
      <c r="T353" s="21" t="s">
        <v>204</v>
      </c>
      <c r="U353" s="11" t="s">
        <v>204</v>
      </c>
      <c r="V353" s="141">
        <v>45978</v>
      </c>
    </row>
    <row r="354" spans="2:22">
      <c r="B354" s="11" t="s">
        <v>1277</v>
      </c>
      <c r="C354" s="30" t="s">
        <v>31</v>
      </c>
      <c r="D354" s="277" t="s">
        <v>128</v>
      </c>
      <c r="E354" s="141">
        <v>45971</v>
      </c>
      <c r="F354" s="78">
        <v>5730</v>
      </c>
      <c r="G354" s="99">
        <v>151072</v>
      </c>
      <c r="H354" s="340"/>
      <c r="I354" s="154"/>
      <c r="J354" s="144">
        <f t="shared" ref="J354:J385" si="50">+G354-H354-I354</f>
        <v>151072</v>
      </c>
      <c r="K354" s="140"/>
      <c r="L354" s="141">
        <v>45986</v>
      </c>
      <c r="M354" s="145">
        <f ca="1">+$A$1-E354</f>
        <v>19</v>
      </c>
      <c r="N354" s="145">
        <f ca="1">$A$1-L354</f>
        <v>4</v>
      </c>
      <c r="O354" s="140"/>
      <c r="P354" s="21"/>
      <c r="Q354" s="21"/>
      <c r="R354" s="21"/>
      <c r="S354" s="146">
        <f t="shared" ref="S354:S358" si="51">+J354-SUM(P354:R354)</f>
        <v>151072</v>
      </c>
      <c r="T354" s="21"/>
      <c r="U354" s="11"/>
      <c r="V354" s="194"/>
    </row>
    <row r="355" spans="2:22">
      <c r="B355" s="155" t="s">
        <v>90</v>
      </c>
      <c r="C355" s="155" t="s">
        <v>31</v>
      </c>
      <c r="D355" s="156" t="s">
        <v>128</v>
      </c>
      <c r="E355" s="245">
        <v>45971</v>
      </c>
      <c r="F355" s="156">
        <v>5760</v>
      </c>
      <c r="G355" s="161">
        <v>24793</v>
      </c>
      <c r="H355" s="419">
        <v>744</v>
      </c>
      <c r="I355" s="162"/>
      <c r="J355" s="144">
        <f t="shared" si="50"/>
        <v>24049</v>
      </c>
      <c r="K355" s="140"/>
      <c r="L355" s="141">
        <v>45986</v>
      </c>
      <c r="M355" s="145">
        <v>0</v>
      </c>
      <c r="N355" s="145">
        <v>0</v>
      </c>
      <c r="O355" s="140"/>
      <c r="P355" s="21">
        <v>24049</v>
      </c>
      <c r="Q355" s="50"/>
      <c r="R355" s="21"/>
      <c r="S355" s="146">
        <f t="shared" si="51"/>
        <v>0</v>
      </c>
      <c r="T355" s="21"/>
      <c r="U355" s="11" t="s">
        <v>204</v>
      </c>
      <c r="V355" s="141">
        <v>45974</v>
      </c>
    </row>
    <row r="356" spans="2:22">
      <c r="B356" s="11" t="s">
        <v>233</v>
      </c>
      <c r="C356" s="30" t="s">
        <v>31</v>
      </c>
      <c r="D356" s="277" t="s">
        <v>128</v>
      </c>
      <c r="E356" s="141">
        <v>45971</v>
      </c>
      <c r="F356" s="78">
        <v>5800</v>
      </c>
      <c r="G356" s="99">
        <v>27772</v>
      </c>
      <c r="H356" s="340">
        <v>833</v>
      </c>
      <c r="I356" s="154"/>
      <c r="J356" s="144">
        <f t="shared" si="50"/>
        <v>26939</v>
      </c>
      <c r="K356" s="140"/>
      <c r="L356" s="141">
        <v>45986</v>
      </c>
      <c r="M356" s="145">
        <v>0</v>
      </c>
      <c r="N356" s="145">
        <v>0</v>
      </c>
      <c r="O356" s="140"/>
      <c r="P356" s="50">
        <v>21840</v>
      </c>
      <c r="Q356" s="21">
        <v>5000</v>
      </c>
      <c r="R356" s="21"/>
      <c r="S356" s="146">
        <f t="shared" si="51"/>
        <v>99</v>
      </c>
      <c r="T356" s="21"/>
      <c r="U356" s="11"/>
      <c r="V356" s="194"/>
    </row>
    <row r="357" spans="2:22">
      <c r="B357" s="155" t="s">
        <v>149</v>
      </c>
      <c r="C357" s="155" t="s">
        <v>31</v>
      </c>
      <c r="D357" s="156" t="s">
        <v>128</v>
      </c>
      <c r="E357" s="245">
        <v>45971</v>
      </c>
      <c r="F357" s="156">
        <v>5810</v>
      </c>
      <c r="G357" s="161">
        <v>13712</v>
      </c>
      <c r="H357" s="419">
        <v>272</v>
      </c>
      <c r="I357" s="162"/>
      <c r="J357" s="144">
        <f t="shared" si="50"/>
        <v>13440</v>
      </c>
      <c r="K357" s="140"/>
      <c r="L357" s="141">
        <v>45986</v>
      </c>
      <c r="M357" s="145">
        <v>0</v>
      </c>
      <c r="N357" s="145">
        <v>0</v>
      </c>
      <c r="O357" s="140"/>
      <c r="P357" s="21">
        <v>13440</v>
      </c>
      <c r="Q357" s="21"/>
      <c r="R357" s="21"/>
      <c r="S357" s="146">
        <f t="shared" si="51"/>
        <v>0</v>
      </c>
      <c r="T357" s="21"/>
      <c r="U357" s="11"/>
      <c r="V357" s="194"/>
    </row>
    <row r="358" spans="2:22">
      <c r="B358" s="30" t="s">
        <v>1279</v>
      </c>
      <c r="C358" s="30" t="s">
        <v>31</v>
      </c>
      <c r="D358" s="277" t="s">
        <v>128</v>
      </c>
      <c r="E358" s="141">
        <v>45971</v>
      </c>
      <c r="F358" s="275" t="s">
        <v>1278</v>
      </c>
      <c r="G358" s="95">
        <v>236075</v>
      </c>
      <c r="H358" s="340"/>
      <c r="I358" s="154">
        <v>2360</v>
      </c>
      <c r="J358" s="144">
        <f t="shared" si="50"/>
        <v>233715</v>
      </c>
      <c r="K358" s="140"/>
      <c r="L358" s="141">
        <v>45976</v>
      </c>
      <c r="M358" s="145">
        <f ca="1">+$A$1-E358</f>
        <v>19</v>
      </c>
      <c r="N358" s="145">
        <f ca="1">$A$1-L358</f>
        <v>14</v>
      </c>
      <c r="O358" s="140"/>
      <c r="P358" s="21">
        <v>214300</v>
      </c>
      <c r="Q358" s="21">
        <v>3534</v>
      </c>
      <c r="R358" s="21"/>
      <c r="S358" s="146">
        <f t="shared" si="51"/>
        <v>15881</v>
      </c>
      <c r="T358" s="21"/>
      <c r="U358" s="11"/>
      <c r="V358" s="405"/>
    </row>
    <row r="359" spans="2:22">
      <c r="B359" s="156" t="s">
        <v>817</v>
      </c>
      <c r="C359" s="156" t="s">
        <v>63</v>
      </c>
      <c r="D359" s="156" t="s">
        <v>32</v>
      </c>
      <c r="E359" s="245">
        <v>45972</v>
      </c>
      <c r="F359" s="240" t="s">
        <v>1290</v>
      </c>
      <c r="G359" s="404">
        <v>11073</v>
      </c>
      <c r="H359" s="419"/>
      <c r="I359" s="162"/>
      <c r="J359" s="144">
        <f t="shared" si="50"/>
        <v>11073</v>
      </c>
      <c r="K359" s="140"/>
      <c r="L359" s="141">
        <v>45976</v>
      </c>
      <c r="M359" s="145">
        <v>0</v>
      </c>
      <c r="N359" s="145">
        <v>0</v>
      </c>
      <c r="O359" s="140"/>
      <c r="P359" s="21">
        <v>5570</v>
      </c>
      <c r="Q359" s="21">
        <v>5500</v>
      </c>
      <c r="R359" s="21"/>
      <c r="S359" s="146">
        <v>0</v>
      </c>
      <c r="T359" s="21"/>
      <c r="U359" s="11" t="s">
        <v>204</v>
      </c>
      <c r="V359" s="141">
        <v>45980</v>
      </c>
    </row>
    <row r="360" spans="2:22">
      <c r="B360" s="155" t="s">
        <v>727</v>
      </c>
      <c r="C360" s="155" t="s">
        <v>56</v>
      </c>
      <c r="D360" s="155" t="s">
        <v>31</v>
      </c>
      <c r="E360" s="245">
        <v>45972</v>
      </c>
      <c r="F360" s="240" t="s">
        <v>1295</v>
      </c>
      <c r="G360" s="161">
        <v>7251</v>
      </c>
      <c r="H360" s="419"/>
      <c r="I360" s="162"/>
      <c r="J360" s="144">
        <f t="shared" si="50"/>
        <v>7251</v>
      </c>
      <c r="K360" s="140"/>
      <c r="L360" s="141">
        <v>45976</v>
      </c>
      <c r="M360" s="145">
        <v>0</v>
      </c>
      <c r="N360" s="145">
        <v>0</v>
      </c>
      <c r="O360" s="140"/>
      <c r="P360" s="21">
        <v>7251</v>
      </c>
      <c r="Q360" s="21"/>
      <c r="R360" s="21"/>
      <c r="S360" s="146">
        <f t="shared" ref="S360:S364" si="52">+J360-SUM(P360:R360)</f>
        <v>0</v>
      </c>
      <c r="T360" s="21"/>
      <c r="U360" s="11" t="s">
        <v>204</v>
      </c>
      <c r="V360" s="141">
        <v>45978</v>
      </c>
    </row>
    <row r="361" spans="2:22">
      <c r="B361" s="155" t="s">
        <v>39</v>
      </c>
      <c r="C361" s="156" t="s">
        <v>63</v>
      </c>
      <c r="D361" s="155" t="s">
        <v>64</v>
      </c>
      <c r="E361" s="157">
        <v>45973</v>
      </c>
      <c r="F361" s="156">
        <v>45160</v>
      </c>
      <c r="G361" s="161">
        <v>4869</v>
      </c>
      <c r="H361" s="419"/>
      <c r="I361" s="162"/>
      <c r="J361" s="144">
        <f t="shared" si="50"/>
        <v>4869</v>
      </c>
      <c r="K361" s="140"/>
      <c r="L361" s="141">
        <v>45976</v>
      </c>
      <c r="M361" s="145">
        <v>0</v>
      </c>
      <c r="N361" s="145">
        <v>0</v>
      </c>
      <c r="O361" s="140"/>
      <c r="P361" s="21">
        <v>4869</v>
      </c>
      <c r="Q361" s="50"/>
      <c r="R361" s="21"/>
      <c r="S361" s="146">
        <f t="shared" si="52"/>
        <v>0</v>
      </c>
      <c r="T361" s="21"/>
      <c r="U361" s="11" t="s">
        <v>204</v>
      </c>
      <c r="V361" s="141">
        <v>45985</v>
      </c>
    </row>
    <row r="362" spans="2:22">
      <c r="B362" s="11" t="s">
        <v>1307</v>
      </c>
      <c r="C362" s="277" t="s">
        <v>63</v>
      </c>
      <c r="D362" s="30" t="s">
        <v>64</v>
      </c>
      <c r="E362" s="318">
        <v>45973</v>
      </c>
      <c r="F362" s="78">
        <v>45180</v>
      </c>
      <c r="G362" s="99">
        <v>7502</v>
      </c>
      <c r="H362" s="340"/>
      <c r="I362" s="154"/>
      <c r="J362" s="144">
        <f t="shared" si="50"/>
        <v>7502</v>
      </c>
      <c r="K362" s="140"/>
      <c r="L362" s="141">
        <v>45976</v>
      </c>
      <c r="M362" s="145">
        <f ca="1">+$A$1-E362</f>
        <v>17</v>
      </c>
      <c r="N362" s="145">
        <f ca="1">$A$1-L362</f>
        <v>14</v>
      </c>
      <c r="O362" s="140"/>
      <c r="P362" s="50"/>
      <c r="Q362" s="21"/>
      <c r="R362" s="21"/>
      <c r="S362" s="146">
        <f t="shared" si="52"/>
        <v>7502</v>
      </c>
      <c r="T362" s="21"/>
      <c r="U362" s="11"/>
      <c r="V362" s="194"/>
    </row>
    <row r="363" spans="2:22">
      <c r="B363" s="156" t="s">
        <v>455</v>
      </c>
      <c r="C363" s="155" t="s">
        <v>432</v>
      </c>
      <c r="D363" s="155" t="s">
        <v>390</v>
      </c>
      <c r="E363" s="157">
        <v>45973</v>
      </c>
      <c r="F363" s="156">
        <v>43970</v>
      </c>
      <c r="G363" s="161">
        <v>3394</v>
      </c>
      <c r="H363" s="419"/>
      <c r="I363" s="162"/>
      <c r="J363" s="144">
        <f t="shared" si="50"/>
        <v>3394</v>
      </c>
      <c r="K363" s="140"/>
      <c r="L363" s="141">
        <v>45976</v>
      </c>
      <c r="M363" s="145">
        <v>0</v>
      </c>
      <c r="N363" s="145">
        <v>0</v>
      </c>
      <c r="O363" s="140"/>
      <c r="P363" s="50">
        <v>3394</v>
      </c>
      <c r="Q363" s="21"/>
      <c r="R363" s="21"/>
      <c r="S363" s="146">
        <f t="shared" si="52"/>
        <v>0</v>
      </c>
      <c r="T363" s="21"/>
      <c r="U363" s="11" t="s">
        <v>204</v>
      </c>
      <c r="V363" s="141">
        <v>45976</v>
      </c>
    </row>
    <row r="364" spans="2:22">
      <c r="B364" s="155" t="s">
        <v>264</v>
      </c>
      <c r="C364" s="155" t="s">
        <v>31</v>
      </c>
      <c r="D364" s="156" t="s">
        <v>128</v>
      </c>
      <c r="E364" s="157">
        <v>45974</v>
      </c>
      <c r="F364" s="156">
        <v>5850</v>
      </c>
      <c r="G364" s="161">
        <v>37566</v>
      </c>
      <c r="H364" s="419">
        <v>766</v>
      </c>
      <c r="I364" s="162"/>
      <c r="J364" s="144">
        <f t="shared" si="50"/>
        <v>36800</v>
      </c>
      <c r="K364" s="140"/>
      <c r="L364" s="141">
        <v>45989</v>
      </c>
      <c r="M364" s="145">
        <v>0</v>
      </c>
      <c r="N364" s="145">
        <v>0</v>
      </c>
      <c r="O364" s="140"/>
      <c r="P364" s="21">
        <v>36800</v>
      </c>
      <c r="Q364" s="21"/>
      <c r="R364" s="21"/>
      <c r="S364" s="146">
        <f t="shared" si="52"/>
        <v>0</v>
      </c>
      <c r="T364" s="21"/>
      <c r="U364" s="11" t="s">
        <v>204</v>
      </c>
      <c r="V364" s="141">
        <v>45979</v>
      </c>
    </row>
    <row r="365" spans="2:22">
      <c r="B365" s="155" t="s">
        <v>442</v>
      </c>
      <c r="C365" s="155" t="s">
        <v>31</v>
      </c>
      <c r="D365" s="156" t="s">
        <v>128</v>
      </c>
      <c r="E365" s="157">
        <v>45974</v>
      </c>
      <c r="F365" s="156">
        <v>5880</v>
      </c>
      <c r="G365" s="161">
        <v>50172</v>
      </c>
      <c r="H365" s="419">
        <v>1003</v>
      </c>
      <c r="I365" s="162"/>
      <c r="J365" s="144">
        <f t="shared" si="50"/>
        <v>49169</v>
      </c>
      <c r="K365" s="140"/>
      <c r="L365" s="141">
        <v>45989</v>
      </c>
      <c r="M365" s="145">
        <v>0</v>
      </c>
      <c r="N365" s="145">
        <v>0</v>
      </c>
      <c r="O365" s="140"/>
      <c r="P365" s="21">
        <v>48140</v>
      </c>
      <c r="Q365" s="21">
        <v>1029</v>
      </c>
      <c r="R365" s="21"/>
      <c r="S365" s="146">
        <f t="shared" ref="S365:S368" si="53">+J365-SUM(P365:R365)</f>
        <v>0</v>
      </c>
      <c r="T365" s="21"/>
      <c r="U365" s="11" t="s">
        <v>204</v>
      </c>
      <c r="V365" s="141">
        <v>45981</v>
      </c>
    </row>
    <row r="366" spans="2:22">
      <c r="B366" s="155" t="s">
        <v>305</v>
      </c>
      <c r="C366" s="155" t="s">
        <v>31</v>
      </c>
      <c r="D366" s="156" t="s">
        <v>128</v>
      </c>
      <c r="E366" s="157">
        <v>45974</v>
      </c>
      <c r="F366" s="156">
        <v>5890</v>
      </c>
      <c r="G366" s="161">
        <v>49099</v>
      </c>
      <c r="H366" s="419">
        <v>1472</v>
      </c>
      <c r="I366" s="162"/>
      <c r="J366" s="144">
        <f t="shared" si="50"/>
        <v>47627</v>
      </c>
      <c r="K366" s="140"/>
      <c r="L366" s="141">
        <v>45989</v>
      </c>
      <c r="M366" s="145">
        <v>0</v>
      </c>
      <c r="N366" s="145">
        <v>0</v>
      </c>
      <c r="O366" s="140"/>
      <c r="P366" s="21">
        <v>47627</v>
      </c>
      <c r="Q366" s="21"/>
      <c r="R366" s="21"/>
      <c r="S366" s="146">
        <f t="shared" si="53"/>
        <v>0</v>
      </c>
      <c r="T366" s="21"/>
      <c r="U366" s="11" t="s">
        <v>204</v>
      </c>
      <c r="V366" s="141">
        <v>45981</v>
      </c>
    </row>
    <row r="367" spans="2:22">
      <c r="B367" s="155" t="s">
        <v>1341</v>
      </c>
      <c r="C367" s="155" t="s">
        <v>31</v>
      </c>
      <c r="D367" s="156" t="s">
        <v>128</v>
      </c>
      <c r="E367" s="157">
        <v>45975</v>
      </c>
      <c r="F367" s="156">
        <v>6000</v>
      </c>
      <c r="G367" s="161">
        <v>7263</v>
      </c>
      <c r="H367" s="419">
        <v>220</v>
      </c>
      <c r="I367" s="162">
        <v>73</v>
      </c>
      <c r="J367" s="144">
        <f t="shared" si="50"/>
        <v>6970</v>
      </c>
      <c r="K367" s="140"/>
      <c r="L367" s="141">
        <v>45989</v>
      </c>
      <c r="M367" s="145">
        <v>0</v>
      </c>
      <c r="N367" s="145">
        <v>0</v>
      </c>
      <c r="O367" s="140"/>
      <c r="P367" s="50">
        <v>6970</v>
      </c>
      <c r="Q367" s="21"/>
      <c r="R367" s="21"/>
      <c r="S367" s="146">
        <f t="shared" si="53"/>
        <v>0</v>
      </c>
      <c r="T367" s="21"/>
      <c r="U367" s="11" t="s">
        <v>204</v>
      </c>
      <c r="V367" s="141">
        <v>45978</v>
      </c>
    </row>
    <row r="368" spans="2:22">
      <c r="B368" s="155" t="s">
        <v>223</v>
      </c>
      <c r="C368" s="155" t="s">
        <v>31</v>
      </c>
      <c r="D368" s="156" t="s">
        <v>128</v>
      </c>
      <c r="E368" s="157">
        <v>45975</v>
      </c>
      <c r="F368" s="156">
        <v>5980</v>
      </c>
      <c r="G368" s="161">
        <v>88363</v>
      </c>
      <c r="H368" s="419">
        <v>2651</v>
      </c>
      <c r="I368" s="162"/>
      <c r="J368" s="144">
        <f t="shared" si="50"/>
        <v>85712</v>
      </c>
      <c r="K368" s="140"/>
      <c r="L368" s="141">
        <v>45990</v>
      </c>
      <c r="M368" s="145">
        <v>0</v>
      </c>
      <c r="N368" s="145">
        <v>0</v>
      </c>
      <c r="O368" s="140"/>
      <c r="P368" s="21">
        <v>85712</v>
      </c>
      <c r="Q368" s="21"/>
      <c r="R368" s="21"/>
      <c r="S368" s="146">
        <f t="shared" si="53"/>
        <v>0</v>
      </c>
      <c r="T368" s="21"/>
      <c r="U368" s="11"/>
      <c r="V368" s="194"/>
    </row>
    <row r="369" spans="2:22">
      <c r="B369" s="155" t="s">
        <v>194</v>
      </c>
      <c r="C369" s="155" t="s">
        <v>31</v>
      </c>
      <c r="D369" s="156" t="s">
        <v>128</v>
      </c>
      <c r="E369" s="157">
        <v>45975</v>
      </c>
      <c r="F369" s="156">
        <v>5970</v>
      </c>
      <c r="G369" s="161">
        <v>108025</v>
      </c>
      <c r="H369" s="419">
        <v>3241</v>
      </c>
      <c r="I369" s="162"/>
      <c r="J369" s="144">
        <f t="shared" si="50"/>
        <v>104784</v>
      </c>
      <c r="K369" s="140"/>
      <c r="L369" s="141">
        <v>45990</v>
      </c>
      <c r="M369" s="145">
        <v>0</v>
      </c>
      <c r="N369" s="145">
        <v>0</v>
      </c>
      <c r="O369" s="140"/>
      <c r="P369" s="21">
        <v>104500</v>
      </c>
      <c r="Q369" s="21">
        <v>280</v>
      </c>
      <c r="R369" s="21"/>
      <c r="S369" s="146">
        <v>0</v>
      </c>
      <c r="T369" s="21"/>
      <c r="U369" s="11" t="s">
        <v>204</v>
      </c>
      <c r="V369" s="141">
        <v>45985</v>
      </c>
    </row>
    <row r="370" spans="2:22">
      <c r="B370" s="155" t="s">
        <v>677</v>
      </c>
      <c r="C370" s="155" t="s">
        <v>31</v>
      </c>
      <c r="D370" s="156" t="s">
        <v>128</v>
      </c>
      <c r="E370" s="157">
        <v>45975</v>
      </c>
      <c r="F370" s="156">
        <v>5960</v>
      </c>
      <c r="G370" s="161">
        <v>98428</v>
      </c>
      <c r="H370" s="419">
        <v>3488</v>
      </c>
      <c r="I370" s="162"/>
      <c r="J370" s="144">
        <f t="shared" si="50"/>
        <v>94940</v>
      </c>
      <c r="K370" s="140"/>
      <c r="L370" s="141">
        <v>45990</v>
      </c>
      <c r="M370" s="145">
        <v>0</v>
      </c>
      <c r="N370" s="145">
        <v>0</v>
      </c>
      <c r="O370" s="140"/>
      <c r="P370" s="21">
        <v>94940</v>
      </c>
      <c r="Q370" s="21"/>
      <c r="R370" s="21"/>
      <c r="S370" s="146">
        <f t="shared" ref="S370:S374" si="54">+J370-SUM(P370:R370)</f>
        <v>0</v>
      </c>
      <c r="T370" s="21"/>
      <c r="U370" s="11" t="s">
        <v>204</v>
      </c>
      <c r="V370" s="141">
        <v>45981</v>
      </c>
    </row>
    <row r="371" spans="2:22">
      <c r="B371" s="155" t="s">
        <v>90</v>
      </c>
      <c r="C371" s="155" t="s">
        <v>31</v>
      </c>
      <c r="D371" s="156" t="s">
        <v>128</v>
      </c>
      <c r="E371" s="157">
        <v>45975</v>
      </c>
      <c r="F371" s="156">
        <v>5950</v>
      </c>
      <c r="G371" s="161">
        <v>57652</v>
      </c>
      <c r="H371" s="419">
        <v>1502</v>
      </c>
      <c r="I371" s="162"/>
      <c r="J371" s="144">
        <f t="shared" si="50"/>
        <v>56150</v>
      </c>
      <c r="K371" s="140"/>
      <c r="L371" s="141">
        <v>45990</v>
      </c>
      <c r="M371" s="145">
        <v>0</v>
      </c>
      <c r="N371" s="145">
        <v>0</v>
      </c>
      <c r="O371" s="140"/>
      <c r="P371" s="21">
        <v>56150</v>
      </c>
      <c r="Q371" s="50"/>
      <c r="R371" s="21"/>
      <c r="S371" s="146">
        <f t="shared" si="54"/>
        <v>0</v>
      </c>
      <c r="T371" s="21"/>
      <c r="U371" s="11" t="s">
        <v>204</v>
      </c>
      <c r="V371" s="141">
        <v>45981</v>
      </c>
    </row>
    <row r="372" spans="2:22">
      <c r="B372" s="155" t="s">
        <v>1129</v>
      </c>
      <c r="C372" s="155" t="s">
        <v>63</v>
      </c>
      <c r="D372" s="155" t="s">
        <v>64</v>
      </c>
      <c r="E372" s="157">
        <v>45975</v>
      </c>
      <c r="F372" s="304" t="s">
        <v>1342</v>
      </c>
      <c r="G372" s="158">
        <v>10607</v>
      </c>
      <c r="H372" s="419"/>
      <c r="I372" s="162"/>
      <c r="J372" s="144">
        <f t="shared" si="50"/>
        <v>10607</v>
      </c>
      <c r="K372" s="140"/>
      <c r="L372" s="141">
        <v>45984</v>
      </c>
      <c r="M372" s="145">
        <v>0</v>
      </c>
      <c r="N372" s="145">
        <v>0</v>
      </c>
      <c r="O372" s="140"/>
      <c r="P372" s="50">
        <v>607</v>
      </c>
      <c r="Q372" s="21">
        <v>10000</v>
      </c>
      <c r="R372" s="21"/>
      <c r="S372" s="146">
        <f t="shared" si="54"/>
        <v>0</v>
      </c>
      <c r="T372" s="21"/>
      <c r="U372" s="11" t="s">
        <v>204</v>
      </c>
      <c r="V372" s="141">
        <v>45980</v>
      </c>
    </row>
    <row r="373" spans="2:22">
      <c r="B373" s="30" t="s">
        <v>39</v>
      </c>
      <c r="C373" s="30" t="s">
        <v>1352</v>
      </c>
      <c r="D373" s="30" t="s">
        <v>390</v>
      </c>
      <c r="E373" s="318">
        <v>45975</v>
      </c>
      <c r="F373" s="275" t="s">
        <v>1353</v>
      </c>
      <c r="G373" s="95">
        <v>52307</v>
      </c>
      <c r="H373" s="340"/>
      <c r="I373" s="154">
        <v>523</v>
      </c>
      <c r="J373" s="144">
        <f t="shared" si="50"/>
        <v>51784</v>
      </c>
      <c r="K373" s="140"/>
      <c r="L373" s="141">
        <v>45976</v>
      </c>
      <c r="M373" s="145">
        <f ca="1">+$A$1-E373</f>
        <v>15</v>
      </c>
      <c r="N373" s="145">
        <f ca="1">$A$1-L373</f>
        <v>14</v>
      </c>
      <c r="O373" s="140"/>
      <c r="P373" s="50">
        <v>48000</v>
      </c>
      <c r="Q373" s="50"/>
      <c r="R373" s="21"/>
      <c r="S373" s="146">
        <f t="shared" si="54"/>
        <v>3784</v>
      </c>
      <c r="T373" s="21"/>
      <c r="U373" s="11"/>
      <c r="V373" s="194"/>
    </row>
    <row r="374" spans="2:22">
      <c r="B374" s="155" t="s">
        <v>157</v>
      </c>
      <c r="C374" s="155" t="s">
        <v>31</v>
      </c>
      <c r="D374" s="156" t="s">
        <v>128</v>
      </c>
      <c r="E374" s="245">
        <v>45976</v>
      </c>
      <c r="F374" s="156">
        <v>6060</v>
      </c>
      <c r="G374" s="171">
        <v>66280</v>
      </c>
      <c r="H374" s="419">
        <v>1988</v>
      </c>
      <c r="I374" s="162"/>
      <c r="J374" s="144">
        <f t="shared" si="50"/>
        <v>64292</v>
      </c>
      <c r="K374" s="140"/>
      <c r="L374" s="141">
        <v>45991</v>
      </c>
      <c r="M374" s="145">
        <v>0</v>
      </c>
      <c r="N374" s="145">
        <v>0</v>
      </c>
      <c r="O374" s="140"/>
      <c r="P374" s="50">
        <v>64292</v>
      </c>
      <c r="Q374" s="50"/>
      <c r="R374" s="50"/>
      <c r="S374" s="450">
        <f t="shared" si="54"/>
        <v>0</v>
      </c>
      <c r="T374" s="21"/>
      <c r="U374" s="11" t="s">
        <v>204</v>
      </c>
      <c r="V374" s="141">
        <v>45986</v>
      </c>
    </row>
    <row r="375" spans="2:22">
      <c r="B375" s="11" t="s">
        <v>312</v>
      </c>
      <c r="C375" s="30" t="s">
        <v>31</v>
      </c>
      <c r="D375" s="277" t="s">
        <v>128</v>
      </c>
      <c r="E375" s="141">
        <v>45976</v>
      </c>
      <c r="F375" s="78">
        <v>6050</v>
      </c>
      <c r="G375" s="451">
        <v>82987</v>
      </c>
      <c r="H375" s="340"/>
      <c r="I375" s="154"/>
      <c r="J375" s="144">
        <f t="shared" si="50"/>
        <v>82987</v>
      </c>
      <c r="K375" s="140"/>
      <c r="L375" s="141">
        <v>45991</v>
      </c>
      <c r="M375" s="145">
        <f ca="1">+$A$1-E375</f>
        <v>14</v>
      </c>
      <c r="N375" s="145">
        <f ca="1">$A$1-L375</f>
        <v>-1</v>
      </c>
      <c r="O375" s="140"/>
      <c r="P375" s="50"/>
      <c r="Q375" s="50"/>
      <c r="R375" s="50"/>
      <c r="S375" s="450">
        <f t="shared" ref="S375:S380" si="55">+J375-SUM(P375:R375)</f>
        <v>82987</v>
      </c>
      <c r="T375" s="21"/>
      <c r="U375" s="11"/>
      <c r="V375" s="405"/>
    </row>
    <row r="376" spans="2:22">
      <c r="B376" s="163" t="s">
        <v>156</v>
      </c>
      <c r="C376" s="155" t="s">
        <v>31</v>
      </c>
      <c r="D376" s="156" t="s">
        <v>128</v>
      </c>
      <c r="E376" s="245">
        <v>45976</v>
      </c>
      <c r="F376" s="156">
        <v>6070</v>
      </c>
      <c r="G376" s="171">
        <v>1443670</v>
      </c>
      <c r="H376" s="419">
        <v>43310</v>
      </c>
      <c r="I376" s="162">
        <v>28880</v>
      </c>
      <c r="J376" s="144">
        <f t="shared" si="50"/>
        <v>1371480</v>
      </c>
      <c r="K376" s="140"/>
      <c r="L376" s="141">
        <v>45991</v>
      </c>
      <c r="M376" s="145">
        <v>0</v>
      </c>
      <c r="N376" s="145">
        <v>0</v>
      </c>
      <c r="O376" s="140"/>
      <c r="P376" s="50">
        <f>2800+629940</f>
        <v>632740</v>
      </c>
      <c r="Q376" s="50">
        <f>338740+100000</f>
        <v>438740</v>
      </c>
      <c r="R376" s="50">
        <v>300000</v>
      </c>
      <c r="S376" s="450">
        <f t="shared" si="55"/>
        <v>0</v>
      </c>
      <c r="T376" s="21"/>
      <c r="U376" s="11" t="s">
        <v>204</v>
      </c>
      <c r="V376" s="141">
        <v>45985</v>
      </c>
    </row>
    <row r="377" spans="2:22">
      <c r="B377" s="155" t="s">
        <v>1366</v>
      </c>
      <c r="C377" s="155" t="s">
        <v>56</v>
      </c>
      <c r="D377" s="155" t="s">
        <v>31</v>
      </c>
      <c r="E377" s="245">
        <v>45976</v>
      </c>
      <c r="F377" s="156">
        <v>45610</v>
      </c>
      <c r="G377" s="171">
        <v>6641</v>
      </c>
      <c r="H377" s="419"/>
      <c r="I377" s="162"/>
      <c r="J377" s="144">
        <f t="shared" si="50"/>
        <v>6641</v>
      </c>
      <c r="K377" s="140"/>
      <c r="L377" s="141">
        <v>45978</v>
      </c>
      <c r="M377" s="145">
        <v>0</v>
      </c>
      <c r="N377" s="145">
        <v>0</v>
      </c>
      <c r="O377" s="140"/>
      <c r="P377" s="50">
        <v>6641</v>
      </c>
      <c r="Q377" s="50"/>
      <c r="R377" s="50"/>
      <c r="S377" s="450">
        <f t="shared" si="55"/>
        <v>0</v>
      </c>
      <c r="T377" s="21"/>
      <c r="U377" s="11" t="s">
        <v>204</v>
      </c>
      <c r="V377" s="141">
        <v>45978</v>
      </c>
    </row>
    <row r="378" spans="2:22">
      <c r="B378" s="155" t="s">
        <v>789</v>
      </c>
      <c r="C378" s="155" t="s">
        <v>63</v>
      </c>
      <c r="D378" s="155" t="s">
        <v>64</v>
      </c>
      <c r="E378" s="245">
        <v>45978</v>
      </c>
      <c r="F378" s="304" t="s">
        <v>1383</v>
      </c>
      <c r="G378" s="158">
        <v>20520</v>
      </c>
      <c r="H378" s="419"/>
      <c r="I378" s="162"/>
      <c r="J378" s="144">
        <f t="shared" si="50"/>
        <v>20520</v>
      </c>
      <c r="K378" s="140"/>
      <c r="L378" s="141">
        <v>45984</v>
      </c>
      <c r="M378" s="145">
        <v>0</v>
      </c>
      <c r="N378" s="145">
        <v>0</v>
      </c>
      <c r="O378" s="140"/>
      <c r="P378" s="50">
        <v>20520</v>
      </c>
      <c r="Q378" s="50"/>
      <c r="R378" s="50"/>
      <c r="S378" s="450">
        <f t="shared" si="55"/>
        <v>0</v>
      </c>
      <c r="T378" s="21"/>
      <c r="U378" s="11" t="s">
        <v>204</v>
      </c>
      <c r="V378" s="141">
        <v>45985</v>
      </c>
    </row>
    <row r="379" spans="2:22">
      <c r="B379" s="155" t="s">
        <v>533</v>
      </c>
      <c r="C379" s="155" t="s">
        <v>63</v>
      </c>
      <c r="D379" s="155" t="s">
        <v>64</v>
      </c>
      <c r="E379" s="245">
        <v>45978</v>
      </c>
      <c r="F379" s="240" t="s">
        <v>1384</v>
      </c>
      <c r="G379" s="158">
        <v>5828</v>
      </c>
      <c r="H379" s="419"/>
      <c r="I379" s="162"/>
      <c r="J379" s="144">
        <f t="shared" si="50"/>
        <v>5828</v>
      </c>
      <c r="K379" s="140"/>
      <c r="L379" s="141">
        <v>45984</v>
      </c>
      <c r="M379" s="145">
        <v>0</v>
      </c>
      <c r="N379" s="145">
        <v>0</v>
      </c>
      <c r="O379" s="140"/>
      <c r="P379" s="50">
        <v>5828</v>
      </c>
      <c r="Q379" s="50"/>
      <c r="R379" s="50"/>
      <c r="S379" s="450">
        <f t="shared" si="55"/>
        <v>0</v>
      </c>
      <c r="T379" s="21"/>
      <c r="U379" s="11" t="s">
        <v>204</v>
      </c>
      <c r="V379" s="141">
        <v>45985</v>
      </c>
    </row>
    <row r="380" spans="2:22">
      <c r="B380" s="155" t="s">
        <v>1387</v>
      </c>
      <c r="C380" s="155" t="s">
        <v>56</v>
      </c>
      <c r="D380" s="155" t="s">
        <v>31</v>
      </c>
      <c r="E380" s="245">
        <v>45978</v>
      </c>
      <c r="F380" s="240" t="s">
        <v>1388</v>
      </c>
      <c r="G380" s="158">
        <v>10440</v>
      </c>
      <c r="H380" s="419"/>
      <c r="I380" s="162"/>
      <c r="J380" s="144">
        <f t="shared" si="50"/>
        <v>10440</v>
      </c>
      <c r="K380" s="140"/>
      <c r="L380" s="141">
        <v>45984</v>
      </c>
      <c r="M380" s="145">
        <v>0</v>
      </c>
      <c r="N380" s="145">
        <v>0</v>
      </c>
      <c r="O380" s="140"/>
      <c r="P380" s="50">
        <v>10440</v>
      </c>
      <c r="Q380" s="50"/>
      <c r="R380" s="50"/>
      <c r="S380" s="450">
        <f t="shared" si="55"/>
        <v>0</v>
      </c>
      <c r="T380" s="21"/>
      <c r="U380" s="11" t="s">
        <v>204</v>
      </c>
      <c r="V380" s="141">
        <v>45979</v>
      </c>
    </row>
    <row r="381" spans="2:22">
      <c r="B381" s="11" t="s">
        <v>1397</v>
      </c>
      <c r="C381" s="30" t="s">
        <v>63</v>
      </c>
      <c r="D381" s="30" t="s">
        <v>64</v>
      </c>
      <c r="E381" s="141">
        <v>45979</v>
      </c>
      <c r="F381" s="275" t="s">
        <v>1398</v>
      </c>
      <c r="G381" s="95">
        <v>2574</v>
      </c>
      <c r="H381" s="340"/>
      <c r="I381" s="154"/>
      <c r="J381" s="144">
        <f t="shared" si="50"/>
        <v>2574</v>
      </c>
      <c r="K381" s="140"/>
      <c r="L381" s="141">
        <v>45984</v>
      </c>
      <c r="M381" s="145">
        <v>0</v>
      </c>
      <c r="N381" s="145">
        <v>0</v>
      </c>
      <c r="O381" s="140"/>
      <c r="P381" s="50">
        <v>2574</v>
      </c>
      <c r="Q381" s="50"/>
      <c r="R381" s="50"/>
      <c r="S381" s="450">
        <f t="shared" ref="S381:S385" si="56">+J381-SUM(P381:R381)</f>
        <v>0</v>
      </c>
      <c r="T381" s="21"/>
      <c r="U381" s="11" t="s">
        <v>204</v>
      </c>
      <c r="V381" s="141">
        <v>45985</v>
      </c>
    </row>
    <row r="382" spans="2:22">
      <c r="B382" s="155" t="s">
        <v>1405</v>
      </c>
      <c r="C382" s="155" t="s">
        <v>56</v>
      </c>
      <c r="D382" s="155" t="s">
        <v>31</v>
      </c>
      <c r="E382" s="245">
        <v>45979</v>
      </c>
      <c r="F382" s="156">
        <v>46200</v>
      </c>
      <c r="G382" s="158">
        <v>5832</v>
      </c>
      <c r="H382" s="419"/>
      <c r="I382" s="162"/>
      <c r="J382" s="144">
        <f>+G382-H382-I382</f>
        <v>5832</v>
      </c>
      <c r="K382" s="140"/>
      <c r="L382" s="141">
        <v>45984</v>
      </c>
      <c r="M382" s="145">
        <v>0</v>
      </c>
      <c r="N382" s="145">
        <v>0</v>
      </c>
      <c r="O382" s="140"/>
      <c r="P382" s="50">
        <v>5832</v>
      </c>
      <c r="Q382" s="50"/>
      <c r="R382" s="50"/>
      <c r="S382" s="450">
        <f t="shared" si="56"/>
        <v>0</v>
      </c>
      <c r="T382" s="21"/>
      <c r="U382" s="11" t="s">
        <v>204</v>
      </c>
      <c r="V382" s="141">
        <v>45980</v>
      </c>
    </row>
    <row r="383" spans="2:22">
      <c r="B383" s="155" t="s">
        <v>1406</v>
      </c>
      <c r="C383" s="155" t="s">
        <v>56</v>
      </c>
      <c r="D383" s="155" t="s">
        <v>31</v>
      </c>
      <c r="E383" s="245">
        <v>45979</v>
      </c>
      <c r="F383" s="156">
        <v>46250</v>
      </c>
      <c r="G383" s="158">
        <v>2300</v>
      </c>
      <c r="H383" s="419"/>
      <c r="I383" s="162"/>
      <c r="J383" s="144">
        <f>+G383-H383-I383</f>
        <v>2300</v>
      </c>
      <c r="K383" s="140"/>
      <c r="L383" s="141">
        <v>45984</v>
      </c>
      <c r="M383" s="145">
        <v>0</v>
      </c>
      <c r="N383" s="145">
        <v>0</v>
      </c>
      <c r="O383" s="140"/>
      <c r="P383" s="50">
        <v>2300</v>
      </c>
      <c r="Q383" s="50"/>
      <c r="R383" s="50"/>
      <c r="S383" s="450">
        <f t="shared" si="56"/>
        <v>0</v>
      </c>
      <c r="T383" s="21"/>
      <c r="U383" s="11" t="s">
        <v>204</v>
      </c>
      <c r="V383" s="141">
        <v>45980</v>
      </c>
    </row>
    <row r="384" spans="2:22">
      <c r="B384" s="30" t="s">
        <v>1022</v>
      </c>
      <c r="C384" s="30" t="s">
        <v>432</v>
      </c>
      <c r="D384" s="30" t="s">
        <v>390</v>
      </c>
      <c r="E384" s="109">
        <v>45981</v>
      </c>
      <c r="F384" s="275" t="s">
        <v>1419</v>
      </c>
      <c r="G384" s="95">
        <v>10271</v>
      </c>
      <c r="H384" s="340"/>
      <c r="I384" s="154"/>
      <c r="J384" s="144">
        <f t="shared" si="50"/>
        <v>10271</v>
      </c>
      <c r="K384" s="140"/>
      <c r="L384" s="141">
        <v>45989</v>
      </c>
      <c r="M384" s="145">
        <f t="shared" ref="M384:M415" ca="1" si="57">+$A$1-E384</f>
        <v>9</v>
      </c>
      <c r="N384" s="145">
        <f t="shared" ref="N384:N415" ca="1" si="58">$A$1-L384</f>
        <v>1</v>
      </c>
      <c r="O384" s="140"/>
      <c r="P384" s="50"/>
      <c r="Q384" s="50"/>
      <c r="R384" s="50"/>
      <c r="S384" s="450">
        <f t="shared" si="56"/>
        <v>10271</v>
      </c>
      <c r="T384" s="21"/>
      <c r="U384" s="11"/>
      <c r="V384" s="194"/>
    </row>
    <row r="385" spans="2:22">
      <c r="B385" s="155" t="s">
        <v>476</v>
      </c>
      <c r="C385" s="155" t="s">
        <v>31</v>
      </c>
      <c r="D385" s="156" t="s">
        <v>128</v>
      </c>
      <c r="E385" s="159">
        <v>45981</v>
      </c>
      <c r="F385" s="156">
        <v>6230</v>
      </c>
      <c r="G385" s="161">
        <v>54082</v>
      </c>
      <c r="H385" s="419">
        <v>1622</v>
      </c>
      <c r="I385" s="162"/>
      <c r="J385" s="144">
        <f t="shared" si="50"/>
        <v>52460</v>
      </c>
      <c r="K385" s="140"/>
      <c r="L385" s="141">
        <v>45996</v>
      </c>
      <c r="M385" s="145">
        <v>0</v>
      </c>
      <c r="N385" s="145">
        <v>0</v>
      </c>
      <c r="O385" s="140"/>
      <c r="P385" s="50">
        <v>52460</v>
      </c>
      <c r="Q385" s="50"/>
      <c r="R385" s="50"/>
      <c r="S385" s="450">
        <f t="shared" si="56"/>
        <v>0</v>
      </c>
      <c r="T385" s="11" t="s">
        <v>204</v>
      </c>
      <c r="U385" s="11" t="s">
        <v>204</v>
      </c>
      <c r="V385" s="141">
        <v>45988</v>
      </c>
    </row>
    <row r="386" spans="2:22">
      <c r="B386" s="11" t="s">
        <v>442</v>
      </c>
      <c r="C386" s="30" t="s">
        <v>31</v>
      </c>
      <c r="D386" s="277" t="s">
        <v>128</v>
      </c>
      <c r="E386" s="109">
        <v>45981</v>
      </c>
      <c r="F386" s="78">
        <v>6210</v>
      </c>
      <c r="G386" s="99">
        <f>25303+1029</f>
        <v>26332</v>
      </c>
      <c r="H386" s="340"/>
      <c r="I386" s="154"/>
      <c r="J386" s="144">
        <f t="shared" ref="J386:J402" si="59">+G386-H386-I386</f>
        <v>26332</v>
      </c>
      <c r="K386" s="140"/>
      <c r="L386" s="141">
        <v>45996</v>
      </c>
      <c r="M386" s="145">
        <f t="shared" ca="1" si="57"/>
        <v>9</v>
      </c>
      <c r="N386" s="145">
        <f t="shared" ca="1" si="58"/>
        <v>-6</v>
      </c>
      <c r="O386" s="140"/>
      <c r="P386" s="50"/>
      <c r="Q386" s="50"/>
      <c r="R386" s="50"/>
      <c r="S386" s="450">
        <f t="shared" ref="S386:S402" si="60">+J386-SUM(P386:R386)</f>
        <v>26332</v>
      </c>
      <c r="T386" s="21"/>
      <c r="U386" s="11"/>
      <c r="V386" s="194"/>
    </row>
    <row r="387" spans="2:22">
      <c r="B387" s="11" t="s">
        <v>1434</v>
      </c>
      <c r="C387" s="30" t="s">
        <v>31</v>
      </c>
      <c r="D387" s="277" t="s">
        <v>128</v>
      </c>
      <c r="E387" s="109">
        <v>45981</v>
      </c>
      <c r="F387" s="78">
        <v>6180</v>
      </c>
      <c r="G387" s="99">
        <v>85491</v>
      </c>
      <c r="H387" s="340"/>
      <c r="I387" s="154"/>
      <c r="J387" s="144">
        <f t="shared" si="59"/>
        <v>85491</v>
      </c>
      <c r="K387" s="140"/>
      <c r="L387" s="141">
        <v>45996</v>
      </c>
      <c r="M387" s="145">
        <f t="shared" ca="1" si="57"/>
        <v>9</v>
      </c>
      <c r="N387" s="145">
        <f t="shared" ca="1" si="58"/>
        <v>-6</v>
      </c>
      <c r="O387" s="140"/>
      <c r="P387" s="50"/>
      <c r="Q387" s="50"/>
      <c r="R387" s="50"/>
      <c r="S387" s="450">
        <f t="shared" si="60"/>
        <v>85491</v>
      </c>
      <c r="T387" s="21"/>
      <c r="U387" s="11"/>
      <c r="V387" s="405"/>
    </row>
    <row r="388" spans="2:22">
      <c r="B388" s="11" t="s">
        <v>1435</v>
      </c>
      <c r="C388" s="30" t="s">
        <v>31</v>
      </c>
      <c r="D388" s="277" t="s">
        <v>128</v>
      </c>
      <c r="E388" s="109">
        <v>45981</v>
      </c>
      <c r="F388" s="78">
        <v>6160</v>
      </c>
      <c r="G388" s="99">
        <v>178263</v>
      </c>
      <c r="H388" s="340">
        <v>7130</v>
      </c>
      <c r="I388" s="154">
        <v>1782</v>
      </c>
      <c r="J388" s="144">
        <f t="shared" si="59"/>
        <v>169351</v>
      </c>
      <c r="K388" s="140"/>
      <c r="L388" s="141">
        <v>45996</v>
      </c>
      <c r="M388" s="145">
        <f t="shared" ca="1" si="57"/>
        <v>9</v>
      </c>
      <c r="N388" s="145">
        <f t="shared" ca="1" si="58"/>
        <v>-6</v>
      </c>
      <c r="O388" s="140"/>
      <c r="P388" s="50">
        <v>140000</v>
      </c>
      <c r="Q388" s="50">
        <v>23000</v>
      </c>
      <c r="R388" s="50">
        <v>5000</v>
      </c>
      <c r="S388" s="450">
        <f t="shared" si="60"/>
        <v>1351</v>
      </c>
      <c r="T388" s="21"/>
      <c r="U388" s="11"/>
      <c r="V388" s="194"/>
    </row>
    <row r="389" spans="2:22">
      <c r="B389" s="155" t="s">
        <v>35</v>
      </c>
      <c r="C389" s="155" t="s">
        <v>31</v>
      </c>
      <c r="D389" s="156" t="s">
        <v>128</v>
      </c>
      <c r="E389" s="245">
        <v>45982</v>
      </c>
      <c r="F389" s="156">
        <v>6320</v>
      </c>
      <c r="G389" s="161">
        <v>148030</v>
      </c>
      <c r="H389" s="419">
        <v>4441</v>
      </c>
      <c r="I389" s="162"/>
      <c r="J389" s="144">
        <f t="shared" si="59"/>
        <v>143589</v>
      </c>
      <c r="K389" s="140"/>
      <c r="L389" s="141">
        <v>45997</v>
      </c>
      <c r="M389" s="145">
        <v>0</v>
      </c>
      <c r="N389" s="145">
        <v>0</v>
      </c>
      <c r="O389" s="140"/>
      <c r="P389" s="50">
        <v>143589</v>
      </c>
      <c r="Q389" s="50"/>
      <c r="R389" s="50"/>
      <c r="S389" s="450">
        <f t="shared" si="60"/>
        <v>0</v>
      </c>
      <c r="T389" s="11" t="s">
        <v>204</v>
      </c>
      <c r="U389" s="11" t="s">
        <v>204</v>
      </c>
      <c r="V389" s="141">
        <v>45988</v>
      </c>
    </row>
    <row r="390" spans="2:22">
      <c r="B390" s="11" t="s">
        <v>220</v>
      </c>
      <c r="C390" s="30" t="s">
        <v>31</v>
      </c>
      <c r="D390" s="277" t="s">
        <v>128</v>
      </c>
      <c r="E390" s="141">
        <v>45982</v>
      </c>
      <c r="F390" s="78">
        <v>6290</v>
      </c>
      <c r="G390" s="99">
        <v>57457</v>
      </c>
      <c r="H390" s="340"/>
      <c r="I390" s="154"/>
      <c r="J390" s="144">
        <f t="shared" si="59"/>
        <v>57457</v>
      </c>
      <c r="K390" s="140"/>
      <c r="L390" s="141">
        <v>45997</v>
      </c>
      <c r="M390" s="145">
        <f t="shared" ca="1" si="57"/>
        <v>8</v>
      </c>
      <c r="N390" s="145">
        <f t="shared" ca="1" si="58"/>
        <v>-7</v>
      </c>
      <c r="O390" s="140"/>
      <c r="P390" s="50"/>
      <c r="Q390" s="50"/>
      <c r="R390" s="50"/>
      <c r="S390" s="450">
        <f t="shared" si="60"/>
        <v>57457</v>
      </c>
      <c r="T390" s="21"/>
      <c r="U390" s="11"/>
      <c r="V390" s="405"/>
    </row>
    <row r="391" spans="2:22">
      <c r="B391" s="11" t="s">
        <v>1450</v>
      </c>
      <c r="C391" s="30" t="s">
        <v>31</v>
      </c>
      <c r="D391" s="277" t="s">
        <v>128</v>
      </c>
      <c r="E391" s="141">
        <v>45982</v>
      </c>
      <c r="F391" s="78">
        <v>6300</v>
      </c>
      <c r="G391" s="99">
        <v>240623</v>
      </c>
      <c r="H391" s="340"/>
      <c r="I391" s="154"/>
      <c r="J391" s="144">
        <f t="shared" si="59"/>
        <v>240623</v>
      </c>
      <c r="K391" s="140"/>
      <c r="L391" s="141">
        <v>45997</v>
      </c>
      <c r="M391" s="145">
        <f t="shared" ca="1" si="57"/>
        <v>8</v>
      </c>
      <c r="N391" s="145">
        <f t="shared" ca="1" si="58"/>
        <v>-7</v>
      </c>
      <c r="O391" s="140"/>
      <c r="P391" s="50"/>
      <c r="Q391" s="50"/>
      <c r="R391" s="50"/>
      <c r="S391" s="450">
        <f t="shared" si="60"/>
        <v>240623</v>
      </c>
      <c r="T391" s="21"/>
      <c r="U391" s="11"/>
      <c r="V391" s="405"/>
    </row>
    <row r="392" spans="2:22">
      <c r="B392" s="155" t="s">
        <v>1451</v>
      </c>
      <c r="C392" s="155" t="s">
        <v>31</v>
      </c>
      <c r="D392" s="156" t="s">
        <v>128</v>
      </c>
      <c r="E392" s="245">
        <v>45982</v>
      </c>
      <c r="F392" s="156">
        <v>6310</v>
      </c>
      <c r="G392" s="161">
        <v>90731</v>
      </c>
      <c r="H392" s="419">
        <v>2731</v>
      </c>
      <c r="I392" s="162"/>
      <c r="J392" s="144">
        <f t="shared" si="59"/>
        <v>88000</v>
      </c>
      <c r="K392" s="140"/>
      <c r="L392" s="141">
        <v>45997</v>
      </c>
      <c r="M392" s="145">
        <v>0</v>
      </c>
      <c r="N392" s="145">
        <v>0</v>
      </c>
      <c r="O392" s="140"/>
      <c r="P392" s="50">
        <v>88000</v>
      </c>
      <c r="Q392" s="50"/>
      <c r="R392" s="50"/>
      <c r="S392" s="450">
        <f t="shared" si="60"/>
        <v>0</v>
      </c>
      <c r="T392" s="21"/>
      <c r="U392" s="11" t="s">
        <v>204</v>
      </c>
      <c r="V392" s="141">
        <v>45989</v>
      </c>
    </row>
    <row r="393" spans="2:22">
      <c r="B393" s="11" t="s">
        <v>222</v>
      </c>
      <c r="C393" s="30" t="s">
        <v>31</v>
      </c>
      <c r="D393" s="277" t="s">
        <v>128</v>
      </c>
      <c r="E393" s="141">
        <v>45982</v>
      </c>
      <c r="F393" s="78">
        <v>6280</v>
      </c>
      <c r="G393" s="99">
        <v>17671</v>
      </c>
      <c r="H393" s="340">
        <v>391</v>
      </c>
      <c r="I393" s="154"/>
      <c r="J393" s="144">
        <f t="shared" si="59"/>
        <v>17280</v>
      </c>
      <c r="K393" s="140"/>
      <c r="L393" s="141">
        <v>45997</v>
      </c>
      <c r="M393" s="145">
        <v>0</v>
      </c>
      <c r="N393" s="145">
        <v>0</v>
      </c>
      <c r="O393" s="140"/>
      <c r="P393" s="50">
        <v>17280</v>
      </c>
      <c r="Q393" s="50"/>
      <c r="R393" s="50"/>
      <c r="S393" s="450">
        <f t="shared" si="60"/>
        <v>0</v>
      </c>
      <c r="T393" s="11" t="s">
        <v>204</v>
      </c>
      <c r="U393" s="11" t="s">
        <v>204</v>
      </c>
      <c r="V393" s="141">
        <v>45989</v>
      </c>
    </row>
    <row r="394" spans="2:22">
      <c r="B394" s="11" t="s">
        <v>1452</v>
      </c>
      <c r="C394" s="30" t="s">
        <v>31</v>
      </c>
      <c r="D394" s="277" t="s">
        <v>128</v>
      </c>
      <c r="E394" s="141">
        <v>45982</v>
      </c>
      <c r="F394" s="78">
        <v>6270</v>
      </c>
      <c r="G394" s="99">
        <v>51622</v>
      </c>
      <c r="H394" s="340"/>
      <c r="I394" s="154"/>
      <c r="J394" s="144">
        <f t="shared" si="59"/>
        <v>51622</v>
      </c>
      <c r="K394" s="140"/>
      <c r="L394" s="141">
        <v>45997</v>
      </c>
      <c r="M394" s="145">
        <f t="shared" ca="1" si="57"/>
        <v>8</v>
      </c>
      <c r="N394" s="145">
        <f t="shared" ca="1" si="58"/>
        <v>-7</v>
      </c>
      <c r="O394" s="140"/>
      <c r="P394" s="50"/>
      <c r="Q394" s="50"/>
      <c r="R394" s="50"/>
      <c r="S394" s="450">
        <f t="shared" si="60"/>
        <v>51622</v>
      </c>
      <c r="T394" s="21"/>
      <c r="U394" s="11"/>
      <c r="V394" s="405"/>
    </row>
    <row r="395" spans="2:22">
      <c r="B395" s="155" t="s">
        <v>1453</v>
      </c>
      <c r="C395" s="155" t="s">
        <v>432</v>
      </c>
      <c r="D395" s="155" t="s">
        <v>390</v>
      </c>
      <c r="E395" s="245">
        <v>45982</v>
      </c>
      <c r="F395" s="304" t="s">
        <v>1454</v>
      </c>
      <c r="G395" s="161">
        <v>5588</v>
      </c>
      <c r="H395" s="419"/>
      <c r="I395" s="162"/>
      <c r="J395" s="144">
        <f t="shared" si="59"/>
        <v>5588</v>
      </c>
      <c r="K395" s="140"/>
      <c r="L395" s="141">
        <v>45986</v>
      </c>
      <c r="M395" s="145">
        <v>0</v>
      </c>
      <c r="N395" s="145">
        <v>0</v>
      </c>
      <c r="O395" s="140"/>
      <c r="P395" s="50">
        <v>5588</v>
      </c>
      <c r="Q395" s="50"/>
      <c r="R395" s="50"/>
      <c r="S395" s="450">
        <f t="shared" si="60"/>
        <v>0</v>
      </c>
      <c r="T395" s="11" t="s">
        <v>204</v>
      </c>
      <c r="U395" s="11" t="s">
        <v>204</v>
      </c>
      <c r="V395" s="141">
        <v>45989</v>
      </c>
    </row>
    <row r="396" spans="2:22">
      <c r="B396" s="11" t="s">
        <v>108</v>
      </c>
      <c r="C396" s="30" t="s">
        <v>31</v>
      </c>
      <c r="D396" s="277" t="s">
        <v>128</v>
      </c>
      <c r="E396" s="141">
        <v>45978</v>
      </c>
      <c r="F396" s="78">
        <v>6140</v>
      </c>
      <c r="G396" s="458">
        <v>405298</v>
      </c>
      <c r="H396" s="340"/>
      <c r="I396" s="154"/>
      <c r="J396" s="144">
        <f t="shared" si="59"/>
        <v>405298</v>
      </c>
      <c r="K396" s="140"/>
      <c r="L396" s="141">
        <v>45984</v>
      </c>
      <c r="M396" s="145">
        <f t="shared" ca="1" si="57"/>
        <v>12</v>
      </c>
      <c r="N396" s="145">
        <f t="shared" ca="1" si="58"/>
        <v>6</v>
      </c>
      <c r="O396" s="140"/>
      <c r="P396" s="50"/>
      <c r="Q396" s="50"/>
      <c r="R396" s="50"/>
      <c r="S396" s="450">
        <f t="shared" si="60"/>
        <v>405298</v>
      </c>
      <c r="T396" s="21"/>
      <c r="U396" s="11"/>
      <c r="V396" s="194"/>
    </row>
    <row r="397" spans="2:22">
      <c r="B397" s="11" t="s">
        <v>1459</v>
      </c>
      <c r="C397" s="30" t="s">
        <v>31</v>
      </c>
      <c r="D397" s="277" t="s">
        <v>128</v>
      </c>
      <c r="E397" s="141">
        <v>45978</v>
      </c>
      <c r="F397" s="78">
        <v>6120</v>
      </c>
      <c r="G397" s="458">
        <v>20788</v>
      </c>
      <c r="H397" s="340"/>
      <c r="I397" s="154"/>
      <c r="J397" s="144">
        <f t="shared" si="59"/>
        <v>20788</v>
      </c>
      <c r="K397" s="140"/>
      <c r="L397" s="141">
        <v>45984</v>
      </c>
      <c r="M397" s="145">
        <f t="shared" ca="1" si="57"/>
        <v>12</v>
      </c>
      <c r="N397" s="145">
        <f t="shared" ca="1" si="58"/>
        <v>6</v>
      </c>
      <c r="O397" s="140"/>
      <c r="P397" s="50"/>
      <c r="Q397" s="50"/>
      <c r="R397" s="50"/>
      <c r="S397" s="450">
        <f t="shared" si="60"/>
        <v>20788</v>
      </c>
      <c r="T397" s="21"/>
      <c r="U397" s="11"/>
      <c r="V397" s="405"/>
    </row>
    <row r="398" spans="2:22">
      <c r="B398" s="11" t="s">
        <v>496</v>
      </c>
      <c r="C398" s="30" t="s">
        <v>31</v>
      </c>
      <c r="D398" s="277" t="s">
        <v>128</v>
      </c>
      <c r="E398" s="141">
        <v>45978</v>
      </c>
      <c r="F398" s="78">
        <v>6100</v>
      </c>
      <c r="G398" s="458">
        <v>30957</v>
      </c>
      <c r="H398" s="340"/>
      <c r="I398" s="154"/>
      <c r="J398" s="144">
        <f t="shared" si="59"/>
        <v>30957</v>
      </c>
      <c r="K398" s="140"/>
      <c r="L398" s="141">
        <v>45984</v>
      </c>
      <c r="M398" s="145">
        <f t="shared" ca="1" si="57"/>
        <v>12</v>
      </c>
      <c r="N398" s="145">
        <f t="shared" ca="1" si="58"/>
        <v>6</v>
      </c>
      <c r="O398" s="140"/>
      <c r="P398" s="50"/>
      <c r="Q398" s="50"/>
      <c r="R398" s="50"/>
      <c r="S398" s="450">
        <f t="shared" si="60"/>
        <v>30957</v>
      </c>
      <c r="T398" s="21"/>
      <c r="U398" s="11"/>
      <c r="V398" s="194"/>
    </row>
    <row r="399" spans="2:22">
      <c r="B399" s="155" t="s">
        <v>149</v>
      </c>
      <c r="C399" s="155" t="s">
        <v>31</v>
      </c>
      <c r="D399" s="156" t="s">
        <v>128</v>
      </c>
      <c r="E399" s="245">
        <v>45978</v>
      </c>
      <c r="F399" s="156">
        <v>6130</v>
      </c>
      <c r="G399" s="459">
        <v>68179</v>
      </c>
      <c r="H399" s="419">
        <v>1159</v>
      </c>
      <c r="I399" s="162"/>
      <c r="J399" s="144">
        <f t="shared" si="59"/>
        <v>67020</v>
      </c>
      <c r="K399" s="140"/>
      <c r="L399" s="141">
        <v>45984</v>
      </c>
      <c r="M399" s="145">
        <v>0</v>
      </c>
      <c r="N399" s="145">
        <v>0</v>
      </c>
      <c r="O399" s="140"/>
      <c r="P399" s="50">
        <v>67020</v>
      </c>
      <c r="Q399" s="50"/>
      <c r="R399" s="50"/>
      <c r="S399" s="450">
        <f t="shared" si="60"/>
        <v>0</v>
      </c>
      <c r="T399" s="21" t="s">
        <v>204</v>
      </c>
      <c r="U399" s="11" t="s">
        <v>204</v>
      </c>
      <c r="V399" s="141">
        <v>45986</v>
      </c>
    </row>
    <row r="400" spans="2:22">
      <c r="B400" s="155" t="s">
        <v>738</v>
      </c>
      <c r="C400" s="155" t="s">
        <v>48</v>
      </c>
      <c r="D400" s="155" t="s">
        <v>26</v>
      </c>
      <c r="E400" s="245">
        <v>45983</v>
      </c>
      <c r="F400" s="304" t="s">
        <v>1467</v>
      </c>
      <c r="G400" s="158">
        <v>2916</v>
      </c>
      <c r="H400" s="419"/>
      <c r="I400" s="162"/>
      <c r="J400" s="144">
        <f t="shared" si="59"/>
        <v>2916</v>
      </c>
      <c r="K400" s="140"/>
      <c r="L400" s="141">
        <v>45984</v>
      </c>
      <c r="M400" s="145">
        <v>0</v>
      </c>
      <c r="N400" s="145">
        <v>0</v>
      </c>
      <c r="O400" s="140"/>
      <c r="P400" s="50">
        <v>2916</v>
      </c>
      <c r="Q400" s="50"/>
      <c r="R400" s="50"/>
      <c r="S400" s="450">
        <f t="shared" si="60"/>
        <v>0</v>
      </c>
      <c r="T400" s="21"/>
      <c r="U400" s="11" t="s">
        <v>204</v>
      </c>
      <c r="V400" s="141">
        <v>45988</v>
      </c>
    </row>
    <row r="401" spans="2:22">
      <c r="B401" s="11" t="s">
        <v>156</v>
      </c>
      <c r="C401" s="30" t="s">
        <v>31</v>
      </c>
      <c r="D401" s="277" t="s">
        <v>128</v>
      </c>
      <c r="E401" s="141">
        <v>45983</v>
      </c>
      <c r="F401" s="78">
        <v>6370</v>
      </c>
      <c r="G401" s="99">
        <v>764099</v>
      </c>
      <c r="H401" s="340">
        <v>22923</v>
      </c>
      <c r="I401" s="154">
        <v>15282</v>
      </c>
      <c r="J401" s="144">
        <f t="shared" si="59"/>
        <v>725894</v>
      </c>
      <c r="K401" s="140"/>
      <c r="L401" s="141">
        <v>45998</v>
      </c>
      <c r="M401" s="145">
        <f t="shared" ca="1" si="57"/>
        <v>7</v>
      </c>
      <c r="N401" s="145">
        <f t="shared" ca="1" si="58"/>
        <v>-8</v>
      </c>
      <c r="O401" s="140"/>
      <c r="P401" s="50">
        <v>275894</v>
      </c>
      <c r="Q401" s="50">
        <v>200000</v>
      </c>
      <c r="R401" s="50"/>
      <c r="S401" s="450">
        <f t="shared" si="60"/>
        <v>250000</v>
      </c>
      <c r="T401" s="21"/>
      <c r="U401" s="11"/>
      <c r="V401" s="194"/>
    </row>
    <row r="402" spans="2:22">
      <c r="B402" s="11" t="s">
        <v>157</v>
      </c>
      <c r="C402" s="30" t="s">
        <v>31</v>
      </c>
      <c r="D402" s="277" t="s">
        <v>128</v>
      </c>
      <c r="E402" s="141">
        <v>45983</v>
      </c>
      <c r="F402" s="78">
        <v>6340</v>
      </c>
      <c r="G402" s="99">
        <v>102979</v>
      </c>
      <c r="H402" s="340"/>
      <c r="I402" s="154"/>
      <c r="J402" s="144">
        <f t="shared" si="59"/>
        <v>102979</v>
      </c>
      <c r="K402" s="140"/>
      <c r="L402" s="141">
        <v>45998</v>
      </c>
      <c r="M402" s="145">
        <f t="shared" ca="1" si="57"/>
        <v>7</v>
      </c>
      <c r="N402" s="145">
        <f t="shared" ca="1" si="58"/>
        <v>-8</v>
      </c>
      <c r="O402" s="140"/>
      <c r="P402" s="50"/>
      <c r="Q402" s="50"/>
      <c r="R402" s="50"/>
      <c r="S402" s="450">
        <f t="shared" si="60"/>
        <v>102979</v>
      </c>
      <c r="T402" s="21"/>
      <c r="U402" s="11"/>
      <c r="V402" s="405"/>
    </row>
    <row r="403" spans="2:22">
      <c r="B403" s="11" t="s">
        <v>155</v>
      </c>
      <c r="C403" s="30" t="s">
        <v>31</v>
      </c>
      <c r="D403" s="277" t="s">
        <v>128</v>
      </c>
      <c r="E403" s="141">
        <v>45983</v>
      </c>
      <c r="F403" s="78">
        <v>6360</v>
      </c>
      <c r="G403" s="99">
        <v>416979</v>
      </c>
      <c r="H403" s="340"/>
      <c r="I403" s="154"/>
      <c r="J403" s="144">
        <f t="shared" ref="J403:J424" si="61">+G403-H403-I403</f>
        <v>416979</v>
      </c>
      <c r="K403" s="140"/>
      <c r="L403" s="141">
        <v>45998</v>
      </c>
      <c r="M403" s="145">
        <f t="shared" ca="1" si="57"/>
        <v>7</v>
      </c>
      <c r="N403" s="145">
        <f t="shared" ca="1" si="58"/>
        <v>-8</v>
      </c>
      <c r="O403" s="140"/>
      <c r="P403" s="50"/>
      <c r="Q403" s="50"/>
      <c r="R403" s="50"/>
      <c r="S403" s="450">
        <f t="shared" ref="S403:S424" si="62">+J403-SUM(P403:R403)</f>
        <v>416979</v>
      </c>
      <c r="T403" s="21"/>
      <c r="U403" s="11"/>
      <c r="V403" s="194"/>
    </row>
    <row r="404" spans="2:22">
      <c r="B404" s="11" t="s">
        <v>789</v>
      </c>
      <c r="C404" s="30" t="s">
        <v>63</v>
      </c>
      <c r="D404" s="30" t="s">
        <v>64</v>
      </c>
      <c r="E404" s="141">
        <v>45985</v>
      </c>
      <c r="F404" s="275" t="s">
        <v>1474</v>
      </c>
      <c r="G404" s="99">
        <v>15234</v>
      </c>
      <c r="H404" s="340"/>
      <c r="I404" s="154"/>
      <c r="J404" s="144">
        <f t="shared" si="61"/>
        <v>15234</v>
      </c>
      <c r="K404" s="140"/>
      <c r="L404" s="141">
        <v>45996</v>
      </c>
      <c r="M404" s="145">
        <f t="shared" ca="1" si="57"/>
        <v>5</v>
      </c>
      <c r="N404" s="145">
        <f t="shared" ca="1" si="58"/>
        <v>-6</v>
      </c>
      <c r="O404" s="140"/>
      <c r="P404" s="50"/>
      <c r="Q404" s="50"/>
      <c r="R404" s="50"/>
      <c r="S404" s="450">
        <f t="shared" si="62"/>
        <v>15234</v>
      </c>
      <c r="T404" s="21"/>
      <c r="U404" s="11"/>
      <c r="V404" s="405"/>
    </row>
    <row r="405" spans="2:22">
      <c r="B405" s="11" t="s">
        <v>533</v>
      </c>
      <c r="C405" s="30" t="s">
        <v>63</v>
      </c>
      <c r="D405" s="30" t="s">
        <v>64</v>
      </c>
      <c r="E405" s="141">
        <v>45985</v>
      </c>
      <c r="F405" s="276" t="s">
        <v>1473</v>
      </c>
      <c r="G405" s="99">
        <v>4191</v>
      </c>
      <c r="H405" s="340"/>
      <c r="I405" s="154"/>
      <c r="J405" s="144">
        <f t="shared" si="61"/>
        <v>4191</v>
      </c>
      <c r="K405" s="140"/>
      <c r="L405" s="141">
        <v>45996</v>
      </c>
      <c r="M405" s="145">
        <f t="shared" ca="1" si="57"/>
        <v>5</v>
      </c>
      <c r="N405" s="145">
        <f t="shared" ca="1" si="58"/>
        <v>-6</v>
      </c>
      <c r="O405" s="140"/>
      <c r="P405" s="50"/>
      <c r="Q405" s="50"/>
      <c r="R405" s="50"/>
      <c r="S405" s="450">
        <f t="shared" si="62"/>
        <v>4191</v>
      </c>
      <c r="T405" s="21"/>
      <c r="U405" s="11"/>
      <c r="V405" s="194"/>
    </row>
    <row r="406" spans="2:22">
      <c r="B406" s="11" t="s">
        <v>1491</v>
      </c>
      <c r="C406" s="30" t="s">
        <v>31</v>
      </c>
      <c r="D406" s="277" t="s">
        <v>128</v>
      </c>
      <c r="E406" s="141">
        <v>45985</v>
      </c>
      <c r="F406" s="78">
        <v>6460</v>
      </c>
      <c r="G406" s="99">
        <v>36317</v>
      </c>
      <c r="H406" s="340"/>
      <c r="I406" s="154"/>
      <c r="J406" s="144">
        <f t="shared" si="61"/>
        <v>36317</v>
      </c>
      <c r="K406" s="140"/>
      <c r="L406" s="187">
        <v>46000</v>
      </c>
      <c r="M406" s="145">
        <f t="shared" ca="1" si="57"/>
        <v>5</v>
      </c>
      <c r="N406" s="145">
        <f t="shared" ca="1" si="58"/>
        <v>-10</v>
      </c>
      <c r="O406" s="140"/>
      <c r="P406" s="50"/>
      <c r="Q406" s="50"/>
      <c r="R406" s="50"/>
      <c r="S406" s="450">
        <f t="shared" si="62"/>
        <v>36317</v>
      </c>
      <c r="T406" s="21"/>
      <c r="U406" s="11"/>
      <c r="V406" s="194"/>
    </row>
    <row r="407" spans="2:22">
      <c r="B407" s="155" t="s">
        <v>109</v>
      </c>
      <c r="C407" s="155" t="s">
        <v>31</v>
      </c>
      <c r="D407" s="156" t="s">
        <v>128</v>
      </c>
      <c r="E407" s="245">
        <v>45985</v>
      </c>
      <c r="F407" s="156">
        <v>6380</v>
      </c>
      <c r="G407" s="161">
        <v>3111</v>
      </c>
      <c r="H407" s="419"/>
      <c r="I407" s="162"/>
      <c r="J407" s="144">
        <f t="shared" si="61"/>
        <v>3111</v>
      </c>
      <c r="K407" s="140"/>
      <c r="L407" s="187">
        <v>46000</v>
      </c>
      <c r="M407" s="145">
        <v>0</v>
      </c>
      <c r="N407" s="145">
        <v>0</v>
      </c>
      <c r="O407" s="140"/>
      <c r="P407" s="50">
        <v>3111</v>
      </c>
      <c r="Q407" s="50"/>
      <c r="R407" s="50"/>
      <c r="S407" s="450">
        <f t="shared" si="62"/>
        <v>0</v>
      </c>
      <c r="T407" s="21" t="s">
        <v>204</v>
      </c>
      <c r="U407" s="11" t="s">
        <v>204</v>
      </c>
      <c r="V407" s="141">
        <v>45986</v>
      </c>
    </row>
    <row r="408" spans="2:22">
      <c r="B408" s="155" t="s">
        <v>538</v>
      </c>
      <c r="C408" s="155" t="s">
        <v>31</v>
      </c>
      <c r="D408" s="156" t="s">
        <v>128</v>
      </c>
      <c r="E408" s="245">
        <v>45985</v>
      </c>
      <c r="F408" s="156">
        <v>6400</v>
      </c>
      <c r="G408" s="161">
        <v>14550</v>
      </c>
      <c r="H408" s="419"/>
      <c r="I408" s="162"/>
      <c r="J408" s="144">
        <f t="shared" si="61"/>
        <v>14550</v>
      </c>
      <c r="K408" s="140"/>
      <c r="L408" s="187">
        <v>46000</v>
      </c>
      <c r="M408" s="145">
        <v>0</v>
      </c>
      <c r="N408" s="145">
        <v>0</v>
      </c>
      <c r="O408" s="140"/>
      <c r="P408" s="50">
        <v>14550</v>
      </c>
      <c r="Q408" s="50"/>
      <c r="R408" s="50"/>
      <c r="S408" s="450">
        <f t="shared" si="62"/>
        <v>0</v>
      </c>
      <c r="T408" s="21" t="s">
        <v>204</v>
      </c>
      <c r="U408" s="11" t="s">
        <v>204</v>
      </c>
      <c r="V408" s="141">
        <v>45986</v>
      </c>
    </row>
    <row r="409" spans="2:22">
      <c r="B409" s="155" t="s">
        <v>1476</v>
      </c>
      <c r="C409" s="155" t="s">
        <v>31</v>
      </c>
      <c r="D409" s="156" t="s">
        <v>128</v>
      </c>
      <c r="E409" s="245">
        <v>45985</v>
      </c>
      <c r="F409" s="156">
        <v>6410</v>
      </c>
      <c r="G409" s="161">
        <v>40975</v>
      </c>
      <c r="H409" s="419">
        <v>1230</v>
      </c>
      <c r="I409" s="162"/>
      <c r="J409" s="144">
        <f t="shared" si="61"/>
        <v>39745</v>
      </c>
      <c r="K409" s="140"/>
      <c r="L409" s="187">
        <v>46000</v>
      </c>
      <c r="M409" s="145">
        <v>0</v>
      </c>
      <c r="N409" s="145">
        <v>0</v>
      </c>
      <c r="O409" s="140"/>
      <c r="P409" s="50">
        <v>39745</v>
      </c>
      <c r="Q409" s="50"/>
      <c r="R409" s="50"/>
      <c r="S409" s="450">
        <f t="shared" si="62"/>
        <v>0</v>
      </c>
      <c r="T409" s="21" t="s">
        <v>204</v>
      </c>
      <c r="U409" s="11" t="s">
        <v>204</v>
      </c>
      <c r="V409" s="141">
        <v>45986</v>
      </c>
    </row>
    <row r="410" spans="2:22">
      <c r="B410" s="11" t="s">
        <v>348</v>
      </c>
      <c r="C410" s="30" t="s">
        <v>31</v>
      </c>
      <c r="D410" s="277" t="s">
        <v>128</v>
      </c>
      <c r="E410" s="141">
        <v>45985</v>
      </c>
      <c r="F410" s="78">
        <v>6420</v>
      </c>
      <c r="G410" s="99">
        <v>20917</v>
      </c>
      <c r="H410" s="340"/>
      <c r="I410" s="154"/>
      <c r="J410" s="144">
        <f t="shared" si="61"/>
        <v>20917</v>
      </c>
      <c r="K410" s="140"/>
      <c r="L410" s="187">
        <v>46000</v>
      </c>
      <c r="M410" s="145">
        <f t="shared" ca="1" si="57"/>
        <v>5</v>
      </c>
      <c r="N410" s="145">
        <f t="shared" ca="1" si="58"/>
        <v>-10</v>
      </c>
      <c r="O410" s="140"/>
      <c r="P410" s="50"/>
      <c r="Q410" s="50"/>
      <c r="R410" s="50"/>
      <c r="S410" s="450">
        <f t="shared" si="62"/>
        <v>20917</v>
      </c>
      <c r="T410" s="21"/>
      <c r="U410" s="11"/>
      <c r="V410" s="194"/>
    </row>
    <row r="411" spans="2:22">
      <c r="B411" s="155" t="s">
        <v>966</v>
      </c>
      <c r="C411" s="155" t="s">
        <v>31</v>
      </c>
      <c r="D411" s="156" t="s">
        <v>128</v>
      </c>
      <c r="E411" s="245">
        <v>45985</v>
      </c>
      <c r="F411" s="156">
        <v>6430</v>
      </c>
      <c r="G411" s="161">
        <v>8803</v>
      </c>
      <c r="H411" s="419">
        <v>176</v>
      </c>
      <c r="I411" s="162"/>
      <c r="J411" s="144">
        <f t="shared" si="61"/>
        <v>8627</v>
      </c>
      <c r="K411" s="140"/>
      <c r="L411" s="187">
        <v>46000</v>
      </c>
      <c r="M411" s="145">
        <v>0</v>
      </c>
      <c r="N411" s="145">
        <v>0</v>
      </c>
      <c r="O411" s="140"/>
      <c r="P411" s="50">
        <v>8627</v>
      </c>
      <c r="Q411" s="50"/>
      <c r="R411" s="50"/>
      <c r="S411" s="450">
        <f t="shared" si="62"/>
        <v>0</v>
      </c>
      <c r="T411" s="21" t="s">
        <v>204</v>
      </c>
      <c r="U411" s="11" t="s">
        <v>204</v>
      </c>
      <c r="V411" s="141">
        <v>45989</v>
      </c>
    </row>
    <row r="412" spans="2:22">
      <c r="B412" s="11" t="s">
        <v>1477</v>
      </c>
      <c r="C412" s="30" t="s">
        <v>31</v>
      </c>
      <c r="D412" s="277" t="s">
        <v>128</v>
      </c>
      <c r="E412" s="141">
        <v>45985</v>
      </c>
      <c r="F412" s="78">
        <v>6440</v>
      </c>
      <c r="G412" s="99">
        <v>26861</v>
      </c>
      <c r="H412" s="340"/>
      <c r="I412" s="154"/>
      <c r="J412" s="144">
        <f t="shared" si="61"/>
        <v>26861</v>
      </c>
      <c r="K412" s="140"/>
      <c r="L412" s="187">
        <v>46000</v>
      </c>
      <c r="M412" s="145">
        <f t="shared" ca="1" si="57"/>
        <v>5</v>
      </c>
      <c r="N412" s="145">
        <f t="shared" ca="1" si="58"/>
        <v>-10</v>
      </c>
      <c r="O412" s="140"/>
      <c r="P412" s="50"/>
      <c r="Q412" s="50"/>
      <c r="R412" s="50"/>
      <c r="S412" s="450">
        <f t="shared" si="62"/>
        <v>26861</v>
      </c>
      <c r="T412" s="21"/>
      <c r="U412" s="11"/>
      <c r="V412" s="194"/>
    </row>
    <row r="413" spans="2:22">
      <c r="B413" s="11" t="s">
        <v>149</v>
      </c>
      <c r="C413" s="30" t="s">
        <v>31</v>
      </c>
      <c r="D413" s="277" t="s">
        <v>128</v>
      </c>
      <c r="E413" s="141">
        <v>45985</v>
      </c>
      <c r="F413" s="78">
        <v>6450</v>
      </c>
      <c r="G413" s="99">
        <v>20281</v>
      </c>
      <c r="H413" s="340"/>
      <c r="I413" s="154"/>
      <c r="J413" s="144">
        <f t="shared" si="61"/>
        <v>20281</v>
      </c>
      <c r="K413" s="140"/>
      <c r="L413" s="187">
        <v>46000</v>
      </c>
      <c r="M413" s="145">
        <f t="shared" ca="1" si="57"/>
        <v>5</v>
      </c>
      <c r="N413" s="145">
        <f t="shared" ca="1" si="58"/>
        <v>-10</v>
      </c>
      <c r="O413" s="140"/>
      <c r="P413" s="50"/>
      <c r="Q413" s="50"/>
      <c r="R413" s="50"/>
      <c r="S413" s="450">
        <f t="shared" si="62"/>
        <v>20281</v>
      </c>
      <c r="T413" s="21"/>
      <c r="U413" s="11"/>
      <c r="V413" s="194"/>
    </row>
    <row r="414" spans="2:22">
      <c r="B414" s="467" t="s">
        <v>1478</v>
      </c>
      <c r="C414" s="155" t="s">
        <v>63</v>
      </c>
      <c r="D414" s="155" t="s">
        <v>64</v>
      </c>
      <c r="E414" s="245">
        <v>45985</v>
      </c>
      <c r="F414" s="240" t="s">
        <v>1479</v>
      </c>
      <c r="G414" s="174">
        <v>2000</v>
      </c>
      <c r="H414" s="419"/>
      <c r="I414" s="162"/>
      <c r="J414" s="144">
        <f t="shared" si="61"/>
        <v>2000</v>
      </c>
      <c r="K414" s="140"/>
      <c r="L414" s="141">
        <v>45996</v>
      </c>
      <c r="M414" s="145">
        <v>0</v>
      </c>
      <c r="N414" s="145">
        <v>0</v>
      </c>
      <c r="O414" s="140"/>
      <c r="P414" s="50">
        <v>2000</v>
      </c>
      <c r="Q414" s="50"/>
      <c r="R414" s="50"/>
      <c r="S414" s="450">
        <f t="shared" si="62"/>
        <v>0</v>
      </c>
      <c r="T414" s="11" t="s">
        <v>204</v>
      </c>
      <c r="U414" s="11" t="s">
        <v>204</v>
      </c>
      <c r="V414" s="141">
        <v>45986</v>
      </c>
    </row>
    <row r="415" spans="2:22">
      <c r="B415" t="s">
        <v>817</v>
      </c>
      <c r="C415" s="468" t="s">
        <v>63</v>
      </c>
      <c r="D415" s="468" t="s">
        <v>64</v>
      </c>
      <c r="E415" s="221">
        <v>45986</v>
      </c>
      <c r="F415" s="469" t="s">
        <v>1492</v>
      </c>
      <c r="G415" s="470">
        <v>17963</v>
      </c>
      <c r="H415" s="471"/>
      <c r="I415" s="472"/>
      <c r="J415" s="144">
        <f t="shared" si="61"/>
        <v>17963</v>
      </c>
      <c r="K415" s="140"/>
      <c r="L415" s="141">
        <v>45989</v>
      </c>
      <c r="M415" s="145">
        <f t="shared" ca="1" si="57"/>
        <v>4</v>
      </c>
      <c r="N415" s="145">
        <f t="shared" ca="1" si="58"/>
        <v>1</v>
      </c>
      <c r="O415" s="140"/>
      <c r="P415" s="50"/>
      <c r="Q415" s="50"/>
      <c r="R415" s="50"/>
      <c r="S415" s="450">
        <f t="shared" si="62"/>
        <v>17963</v>
      </c>
      <c r="T415" s="21"/>
      <c r="U415" s="11"/>
      <c r="V415" s="194"/>
    </row>
    <row r="416" spans="2:22">
      <c r="B416" s="11" t="s">
        <v>1501</v>
      </c>
      <c r="C416" s="30" t="s">
        <v>56</v>
      </c>
      <c r="D416" s="30" t="s">
        <v>31</v>
      </c>
      <c r="E416" s="141">
        <v>45986</v>
      </c>
      <c r="F416" s="78">
        <v>48650</v>
      </c>
      <c r="G416" s="95">
        <v>9852</v>
      </c>
      <c r="H416" s="340"/>
      <c r="I416" s="154"/>
      <c r="J416" s="144">
        <f t="shared" si="61"/>
        <v>9852</v>
      </c>
      <c r="K416" s="140"/>
      <c r="L416" s="141">
        <v>45989</v>
      </c>
      <c r="M416" s="145">
        <f t="shared" ref="M416:M437" ca="1" si="63">+$A$1-E416</f>
        <v>4</v>
      </c>
      <c r="N416" s="145">
        <f t="shared" ref="N416:N437" ca="1" si="64">$A$1-L416</f>
        <v>1</v>
      </c>
      <c r="O416" s="140"/>
      <c r="P416" s="50"/>
      <c r="Q416" s="50"/>
      <c r="R416" s="50"/>
      <c r="S416" s="450">
        <f t="shared" si="62"/>
        <v>9852</v>
      </c>
      <c r="T416" s="21"/>
      <c r="U416" s="11"/>
      <c r="V416" s="405"/>
    </row>
    <row r="417" spans="2:22">
      <c r="B417" s="30" t="s">
        <v>177</v>
      </c>
      <c r="C417" s="30" t="s">
        <v>63</v>
      </c>
      <c r="D417" s="30" t="s">
        <v>64</v>
      </c>
      <c r="E417" s="318">
        <v>45987</v>
      </c>
      <c r="F417" s="276" t="s">
        <v>1509</v>
      </c>
      <c r="G417" s="95">
        <v>9208</v>
      </c>
      <c r="H417" s="340"/>
      <c r="I417" s="154"/>
      <c r="J417" s="144">
        <f t="shared" si="61"/>
        <v>9208</v>
      </c>
      <c r="K417" s="140"/>
      <c r="L417" s="141">
        <v>45989</v>
      </c>
      <c r="M417" s="145">
        <f t="shared" ca="1" si="63"/>
        <v>3</v>
      </c>
      <c r="N417" s="145">
        <f t="shared" ca="1" si="64"/>
        <v>1</v>
      </c>
      <c r="O417" s="140"/>
      <c r="P417" s="50"/>
      <c r="Q417" s="50"/>
      <c r="R417" s="50"/>
      <c r="S417" s="450">
        <f t="shared" si="62"/>
        <v>9208</v>
      </c>
      <c r="T417" s="21"/>
      <c r="U417" s="11"/>
      <c r="V417" s="194"/>
    </row>
    <row r="418" spans="2:22">
      <c r="B418" s="11" t="s">
        <v>1435</v>
      </c>
      <c r="C418" s="30" t="s">
        <v>31</v>
      </c>
      <c r="D418" s="30" t="s">
        <v>128</v>
      </c>
      <c r="E418" s="318">
        <v>45987</v>
      </c>
      <c r="F418" s="275" t="s">
        <v>937</v>
      </c>
      <c r="G418" s="95">
        <v>145135</v>
      </c>
      <c r="H418" s="340">
        <v>5805</v>
      </c>
      <c r="I418" s="154">
        <v>1451</v>
      </c>
      <c r="J418" s="144">
        <f t="shared" si="61"/>
        <v>137879</v>
      </c>
      <c r="K418" s="140"/>
      <c r="L418" s="141">
        <v>45989</v>
      </c>
      <c r="M418" s="145">
        <v>0</v>
      </c>
      <c r="N418" s="145">
        <v>0</v>
      </c>
      <c r="O418" s="140"/>
      <c r="P418" s="50">
        <f>137760+119</f>
        <v>137879</v>
      </c>
      <c r="Q418" s="50"/>
      <c r="R418" s="50"/>
      <c r="S418" s="450">
        <f t="shared" si="62"/>
        <v>0</v>
      </c>
      <c r="T418" s="21" t="s">
        <v>204</v>
      </c>
      <c r="U418" s="11" t="s">
        <v>204</v>
      </c>
      <c r="V418" s="141">
        <v>45986</v>
      </c>
    </row>
    <row r="419" spans="2:22">
      <c r="B419" s="11" t="s">
        <v>1512</v>
      </c>
      <c r="C419" s="30" t="s">
        <v>432</v>
      </c>
      <c r="D419" s="30" t="s">
        <v>390</v>
      </c>
      <c r="E419" s="318">
        <v>45987</v>
      </c>
      <c r="F419" s="78">
        <v>48860</v>
      </c>
      <c r="G419" s="99">
        <v>9644</v>
      </c>
      <c r="H419" s="340"/>
      <c r="I419" s="154"/>
      <c r="J419" s="144">
        <f t="shared" si="61"/>
        <v>9644</v>
      </c>
      <c r="K419" s="140"/>
      <c r="L419" s="141">
        <v>45989</v>
      </c>
      <c r="M419" s="145">
        <f t="shared" ca="1" si="63"/>
        <v>3</v>
      </c>
      <c r="N419" s="145">
        <f t="shared" ca="1" si="64"/>
        <v>1</v>
      </c>
      <c r="O419" s="140"/>
      <c r="P419" s="50"/>
      <c r="Q419" s="50"/>
      <c r="R419" s="50"/>
      <c r="S419" s="450">
        <f t="shared" si="62"/>
        <v>9644</v>
      </c>
      <c r="T419" s="21"/>
      <c r="U419" s="11"/>
      <c r="V419" s="405"/>
    </row>
    <row r="420" spans="2:22">
      <c r="B420" s="11" t="s">
        <v>789</v>
      </c>
      <c r="C420" s="30" t="s">
        <v>432</v>
      </c>
      <c r="D420" s="30" t="s">
        <v>390</v>
      </c>
      <c r="E420" s="318">
        <v>45987</v>
      </c>
      <c r="F420" s="78">
        <v>48850</v>
      </c>
      <c r="G420" s="99">
        <v>20910</v>
      </c>
      <c r="H420" s="340"/>
      <c r="I420" s="154"/>
      <c r="J420" s="144">
        <f t="shared" si="61"/>
        <v>20910</v>
      </c>
      <c r="K420" s="140"/>
      <c r="L420" s="141">
        <v>45989</v>
      </c>
      <c r="M420" s="145">
        <f t="shared" ca="1" si="63"/>
        <v>3</v>
      </c>
      <c r="N420" s="145">
        <f t="shared" ca="1" si="64"/>
        <v>1</v>
      </c>
      <c r="O420" s="140"/>
      <c r="P420" s="50"/>
      <c r="Q420" s="50"/>
      <c r="R420" s="50"/>
      <c r="S420" s="450">
        <f t="shared" si="62"/>
        <v>20910</v>
      </c>
      <c r="T420" s="21"/>
      <c r="U420" s="11"/>
      <c r="V420" s="194"/>
    </row>
    <row r="421" spans="2:22">
      <c r="B421" s="11" t="s">
        <v>305</v>
      </c>
      <c r="C421" s="30" t="s">
        <v>31</v>
      </c>
      <c r="D421" s="30" t="s">
        <v>128</v>
      </c>
      <c r="E421" s="141">
        <v>45988</v>
      </c>
      <c r="F421" s="78">
        <v>6560</v>
      </c>
      <c r="G421" s="99">
        <v>62780</v>
      </c>
      <c r="H421" s="340"/>
      <c r="I421" s="154"/>
      <c r="J421" s="144">
        <f t="shared" si="61"/>
        <v>62780</v>
      </c>
      <c r="K421" s="140"/>
      <c r="L421" s="187">
        <v>46003</v>
      </c>
      <c r="M421" s="145">
        <f t="shared" ca="1" si="63"/>
        <v>2</v>
      </c>
      <c r="N421" s="145">
        <f t="shared" ca="1" si="64"/>
        <v>-13</v>
      </c>
      <c r="O421" s="140"/>
      <c r="P421" s="50"/>
      <c r="Q421" s="50"/>
      <c r="R421" s="50"/>
      <c r="S421" s="450">
        <f t="shared" si="62"/>
        <v>62780</v>
      </c>
      <c r="T421" s="21"/>
      <c r="U421" s="11"/>
      <c r="V421" s="405"/>
    </row>
    <row r="422" spans="2:22">
      <c r="B422" s="11" t="s">
        <v>968</v>
      </c>
      <c r="C422" s="30" t="s">
        <v>31</v>
      </c>
      <c r="D422" s="30" t="s">
        <v>128</v>
      </c>
      <c r="E422" s="141">
        <v>45988</v>
      </c>
      <c r="F422" s="78">
        <v>6540</v>
      </c>
      <c r="G422" s="99">
        <v>26668</v>
      </c>
      <c r="H422" s="340"/>
      <c r="I422" s="154"/>
      <c r="J422" s="144">
        <f t="shared" si="61"/>
        <v>26668</v>
      </c>
      <c r="K422" s="140"/>
      <c r="L422" s="187">
        <v>46003</v>
      </c>
      <c r="M422" s="145">
        <f t="shared" ca="1" si="63"/>
        <v>2</v>
      </c>
      <c r="N422" s="145">
        <f t="shared" ca="1" si="64"/>
        <v>-13</v>
      </c>
      <c r="O422" s="140"/>
      <c r="P422" s="50"/>
      <c r="Q422" s="50"/>
      <c r="R422" s="50"/>
      <c r="S422" s="450">
        <f t="shared" si="62"/>
        <v>26668</v>
      </c>
      <c r="T422" s="21"/>
      <c r="U422" s="11"/>
      <c r="V422" s="194"/>
    </row>
    <row r="423" spans="2:22">
      <c r="B423" s="11" t="s">
        <v>583</v>
      </c>
      <c r="C423" s="30" t="s">
        <v>31</v>
      </c>
      <c r="D423" s="30" t="s">
        <v>128</v>
      </c>
      <c r="E423" s="141">
        <v>45988</v>
      </c>
      <c r="F423" s="78">
        <v>6480</v>
      </c>
      <c r="G423" s="99">
        <v>44087</v>
      </c>
      <c r="H423" s="340"/>
      <c r="I423" s="154"/>
      <c r="J423" s="144">
        <f t="shared" si="61"/>
        <v>44087</v>
      </c>
      <c r="K423" s="140"/>
      <c r="L423" s="187">
        <v>46003</v>
      </c>
      <c r="M423" s="145">
        <f t="shared" ca="1" si="63"/>
        <v>2</v>
      </c>
      <c r="N423" s="145">
        <f t="shared" ca="1" si="64"/>
        <v>-13</v>
      </c>
      <c r="O423" s="140"/>
      <c r="P423" s="50"/>
      <c r="Q423" s="50"/>
      <c r="R423" s="50"/>
      <c r="S423" s="450">
        <f t="shared" si="62"/>
        <v>44087</v>
      </c>
      <c r="T423" s="21"/>
      <c r="U423" s="11"/>
      <c r="V423" s="194"/>
    </row>
    <row r="424" spans="2:22">
      <c r="B424" s="11" t="s">
        <v>442</v>
      </c>
      <c r="C424" s="30" t="s">
        <v>31</v>
      </c>
      <c r="D424" s="30" t="s">
        <v>128</v>
      </c>
      <c r="E424" s="141">
        <v>45988</v>
      </c>
      <c r="F424" s="78">
        <v>6520</v>
      </c>
      <c r="G424" s="99">
        <v>97236</v>
      </c>
      <c r="H424" s="340"/>
      <c r="I424" s="154"/>
      <c r="J424" s="144">
        <f t="shared" si="61"/>
        <v>97236</v>
      </c>
      <c r="K424" s="140"/>
      <c r="L424" s="187">
        <v>46003</v>
      </c>
      <c r="M424" s="145">
        <f t="shared" ca="1" si="63"/>
        <v>2</v>
      </c>
      <c r="N424" s="145">
        <f t="shared" ca="1" si="64"/>
        <v>-13</v>
      </c>
      <c r="O424" s="140"/>
      <c r="P424" s="50"/>
      <c r="Q424" s="50"/>
      <c r="R424" s="50"/>
      <c r="S424" s="450">
        <f t="shared" si="62"/>
        <v>97236</v>
      </c>
      <c r="T424" s="21"/>
      <c r="U424" s="11"/>
      <c r="V424" s="405"/>
    </row>
    <row r="425" spans="2:22">
      <c r="B425" s="11" t="s">
        <v>1543</v>
      </c>
      <c r="C425" s="30" t="s">
        <v>31</v>
      </c>
      <c r="D425" s="30" t="s">
        <v>128</v>
      </c>
      <c r="E425" s="141">
        <v>45988</v>
      </c>
      <c r="F425" s="78">
        <v>6490</v>
      </c>
      <c r="G425" s="99">
        <v>41702</v>
      </c>
      <c r="H425" s="340"/>
      <c r="I425" s="154"/>
      <c r="J425" s="144">
        <f t="shared" ref="J425:J440" si="65">+G425-H425-I425</f>
        <v>41702</v>
      </c>
      <c r="K425" s="140"/>
      <c r="L425" s="187">
        <v>46003</v>
      </c>
      <c r="M425" s="145">
        <f t="shared" ca="1" si="63"/>
        <v>2</v>
      </c>
      <c r="N425" s="145">
        <f t="shared" ca="1" si="64"/>
        <v>-13</v>
      </c>
      <c r="O425" s="140"/>
      <c r="P425" s="50"/>
      <c r="Q425" s="50"/>
      <c r="R425" s="50"/>
      <c r="S425" s="450">
        <f t="shared" ref="S425:S440" si="66">+J425-SUM(P425:R425)</f>
        <v>41702</v>
      </c>
      <c r="T425" s="21"/>
      <c r="U425" s="11"/>
      <c r="V425" s="194"/>
    </row>
    <row r="426" spans="2:22">
      <c r="B426" s="78" t="s">
        <v>515</v>
      </c>
      <c r="C426" s="277" t="s">
        <v>31</v>
      </c>
      <c r="D426" s="277" t="s">
        <v>128</v>
      </c>
      <c r="E426" s="187">
        <v>45989</v>
      </c>
      <c r="F426" s="78">
        <v>6570</v>
      </c>
      <c r="G426" s="481">
        <v>29561</v>
      </c>
      <c r="H426" s="340"/>
      <c r="I426" s="154"/>
      <c r="J426" s="144">
        <f t="shared" si="65"/>
        <v>29561</v>
      </c>
      <c r="K426" s="140"/>
      <c r="L426" s="187">
        <v>46004</v>
      </c>
      <c r="M426" s="145">
        <f t="shared" ca="1" si="63"/>
        <v>1</v>
      </c>
      <c r="N426" s="145">
        <f t="shared" ca="1" si="64"/>
        <v>-14</v>
      </c>
      <c r="O426" s="140"/>
      <c r="P426" s="50"/>
      <c r="Q426" s="50"/>
      <c r="R426" s="50"/>
      <c r="S426" s="450">
        <f t="shared" si="66"/>
        <v>29561</v>
      </c>
      <c r="T426" s="21"/>
      <c r="U426" s="11"/>
      <c r="V426" s="194"/>
    </row>
    <row r="427" spans="2:22">
      <c r="B427" s="78" t="s">
        <v>223</v>
      </c>
      <c r="C427" s="277" t="s">
        <v>31</v>
      </c>
      <c r="D427" s="277" t="s">
        <v>128</v>
      </c>
      <c r="E427" s="187">
        <v>45989</v>
      </c>
      <c r="F427" s="78">
        <v>6610</v>
      </c>
      <c r="G427" s="481">
        <v>160891</v>
      </c>
      <c r="H427" s="340"/>
      <c r="I427" s="154"/>
      <c r="J427" s="144">
        <f t="shared" si="65"/>
        <v>160891</v>
      </c>
      <c r="K427" s="140"/>
      <c r="L427" s="187">
        <v>46004</v>
      </c>
      <c r="M427" s="145">
        <f t="shared" ca="1" si="63"/>
        <v>1</v>
      </c>
      <c r="N427" s="145">
        <f t="shared" ca="1" si="64"/>
        <v>-14</v>
      </c>
      <c r="O427" s="140"/>
      <c r="P427" s="50"/>
      <c r="Q427" s="50"/>
      <c r="R427" s="50"/>
      <c r="S427" s="450">
        <f t="shared" si="66"/>
        <v>160891</v>
      </c>
      <c r="T427" s="21"/>
      <c r="U427" s="11"/>
      <c r="V427" s="405"/>
    </row>
    <row r="428" spans="2:22">
      <c r="B428" s="78" t="s">
        <v>562</v>
      </c>
      <c r="C428" s="277" t="s">
        <v>31</v>
      </c>
      <c r="D428" s="277" t="s">
        <v>128</v>
      </c>
      <c r="E428" s="187">
        <v>45989</v>
      </c>
      <c r="F428" s="78">
        <v>6580</v>
      </c>
      <c r="G428" s="481">
        <v>429194</v>
      </c>
      <c r="H428" s="340"/>
      <c r="I428" s="154"/>
      <c r="J428" s="144">
        <f t="shared" si="65"/>
        <v>429194</v>
      </c>
      <c r="K428" s="140"/>
      <c r="L428" s="187">
        <v>46004</v>
      </c>
      <c r="M428" s="145">
        <f t="shared" ca="1" si="63"/>
        <v>1</v>
      </c>
      <c r="N428" s="145">
        <f t="shared" ca="1" si="64"/>
        <v>-14</v>
      </c>
      <c r="O428" s="140"/>
      <c r="P428" s="50"/>
      <c r="Q428" s="50"/>
      <c r="R428" s="50"/>
      <c r="S428" s="450">
        <f t="shared" si="66"/>
        <v>429194</v>
      </c>
      <c r="T428" s="21"/>
      <c r="U428" s="11"/>
      <c r="V428" s="194"/>
    </row>
    <row r="429" spans="2:22">
      <c r="B429" s="78" t="s">
        <v>1564</v>
      </c>
      <c r="C429" s="277" t="s">
        <v>31</v>
      </c>
      <c r="D429" s="277" t="s">
        <v>128</v>
      </c>
      <c r="E429" s="187">
        <v>45989</v>
      </c>
      <c r="F429" s="78">
        <v>6630</v>
      </c>
      <c r="G429" s="481">
        <v>252549</v>
      </c>
      <c r="H429" s="340"/>
      <c r="I429" s="154"/>
      <c r="J429" s="144">
        <f t="shared" si="65"/>
        <v>252549</v>
      </c>
      <c r="K429" s="140"/>
      <c r="L429" s="187">
        <v>46004</v>
      </c>
      <c r="M429" s="145">
        <f t="shared" ca="1" si="63"/>
        <v>1</v>
      </c>
      <c r="N429" s="145">
        <f t="shared" ca="1" si="64"/>
        <v>-14</v>
      </c>
      <c r="O429" s="140"/>
      <c r="P429" s="50"/>
      <c r="Q429" s="50"/>
      <c r="R429" s="50"/>
      <c r="S429" s="450">
        <f t="shared" si="66"/>
        <v>252549</v>
      </c>
      <c r="T429" s="21"/>
      <c r="U429" s="11"/>
      <c r="V429" s="405"/>
    </row>
    <row r="430" spans="2:22">
      <c r="B430" s="78" t="s">
        <v>1341</v>
      </c>
      <c r="C430" s="277" t="s">
        <v>31</v>
      </c>
      <c r="D430" s="277" t="s">
        <v>128</v>
      </c>
      <c r="E430" s="187">
        <v>45989</v>
      </c>
      <c r="F430" s="78">
        <v>6600</v>
      </c>
      <c r="G430" s="481">
        <v>3111</v>
      </c>
      <c r="H430" s="340"/>
      <c r="I430" s="154"/>
      <c r="J430" s="144">
        <f t="shared" si="65"/>
        <v>3111</v>
      </c>
      <c r="K430" s="140"/>
      <c r="L430" s="187">
        <v>46004</v>
      </c>
      <c r="M430" s="145">
        <f t="shared" ca="1" si="63"/>
        <v>1</v>
      </c>
      <c r="N430" s="145">
        <f t="shared" ca="1" si="64"/>
        <v>-14</v>
      </c>
      <c r="O430" s="140"/>
      <c r="P430" s="50"/>
      <c r="Q430" s="50"/>
      <c r="R430" s="50"/>
      <c r="S430" s="450">
        <f t="shared" si="66"/>
        <v>3111</v>
      </c>
      <c r="T430" s="21"/>
      <c r="U430" s="11"/>
      <c r="V430" s="194"/>
    </row>
    <row r="431" spans="2:22">
      <c r="B431" s="78" t="s">
        <v>84</v>
      </c>
      <c r="C431" s="277" t="s">
        <v>432</v>
      </c>
      <c r="D431" s="277" t="s">
        <v>390</v>
      </c>
      <c r="E431" s="187">
        <v>45989</v>
      </c>
      <c r="F431" s="275" t="s">
        <v>1565</v>
      </c>
      <c r="G431" s="481">
        <v>20436</v>
      </c>
      <c r="H431" s="340"/>
      <c r="I431" s="154"/>
      <c r="J431" s="144">
        <f t="shared" si="65"/>
        <v>20436</v>
      </c>
      <c r="K431" s="140"/>
      <c r="L431" s="141">
        <v>45995</v>
      </c>
      <c r="M431" s="145">
        <f t="shared" ca="1" si="63"/>
        <v>1</v>
      </c>
      <c r="N431" s="145">
        <f t="shared" ca="1" si="64"/>
        <v>-5</v>
      </c>
      <c r="O431" s="140"/>
      <c r="P431" s="50"/>
      <c r="Q431" s="50"/>
      <c r="R431" s="50"/>
      <c r="S431" s="450">
        <f t="shared" si="66"/>
        <v>20436</v>
      </c>
      <c r="T431" s="21"/>
      <c r="U431" s="11"/>
      <c r="V431" s="194"/>
    </row>
    <row r="432" spans="2:22">
      <c r="B432" s="11"/>
      <c r="C432" s="30"/>
      <c r="D432" s="30"/>
      <c r="E432" s="109"/>
      <c r="F432" s="275"/>
      <c r="G432" s="95"/>
      <c r="H432" s="340"/>
      <c r="I432" s="154"/>
      <c r="J432" s="144">
        <f t="shared" si="65"/>
        <v>0</v>
      </c>
      <c r="K432" s="140"/>
      <c r="L432" s="141"/>
      <c r="M432" s="145">
        <f t="shared" ca="1" si="63"/>
        <v>45990</v>
      </c>
      <c r="N432" s="145">
        <f t="shared" ca="1" si="64"/>
        <v>45990</v>
      </c>
      <c r="O432" s="140"/>
      <c r="P432" s="50"/>
      <c r="Q432" s="50"/>
      <c r="R432" s="50"/>
      <c r="S432" s="450">
        <f t="shared" si="66"/>
        <v>0</v>
      </c>
      <c r="T432" s="21"/>
      <c r="U432" s="11"/>
      <c r="V432" s="405"/>
    </row>
    <row r="433" spans="2:22">
      <c r="B433" s="11"/>
      <c r="C433" s="30"/>
      <c r="D433" s="30"/>
      <c r="E433" s="109"/>
      <c r="F433" s="275"/>
      <c r="G433" s="95"/>
      <c r="H433" s="340"/>
      <c r="I433" s="154"/>
      <c r="J433" s="144">
        <f t="shared" si="65"/>
        <v>0</v>
      </c>
      <c r="K433" s="140"/>
      <c r="L433" s="141"/>
      <c r="M433" s="145">
        <f t="shared" ca="1" si="63"/>
        <v>45990</v>
      </c>
      <c r="N433" s="145">
        <f t="shared" ca="1" si="64"/>
        <v>45990</v>
      </c>
      <c r="O433" s="140"/>
      <c r="P433" s="50"/>
      <c r="Q433" s="50"/>
      <c r="R433" s="50"/>
      <c r="S433" s="450">
        <f t="shared" si="66"/>
        <v>0</v>
      </c>
      <c r="T433" s="21"/>
      <c r="U433" s="11"/>
      <c r="V433" s="194"/>
    </row>
    <row r="434" spans="2:22">
      <c r="B434" s="11"/>
      <c r="C434" s="30"/>
      <c r="D434" s="30"/>
      <c r="E434" s="109"/>
      <c r="F434" s="275"/>
      <c r="G434" s="95"/>
      <c r="H434" s="340"/>
      <c r="I434" s="154"/>
      <c r="J434" s="144">
        <f t="shared" si="65"/>
        <v>0</v>
      </c>
      <c r="K434" s="140"/>
      <c r="L434" s="141"/>
      <c r="M434" s="145">
        <f t="shared" ca="1" si="63"/>
        <v>45990</v>
      </c>
      <c r="N434" s="145">
        <f t="shared" ca="1" si="64"/>
        <v>45990</v>
      </c>
      <c r="O434" s="140"/>
      <c r="P434" s="50"/>
      <c r="Q434" s="50"/>
      <c r="R434" s="50"/>
      <c r="S434" s="450">
        <f t="shared" si="66"/>
        <v>0</v>
      </c>
      <c r="T434" s="21"/>
      <c r="U434" s="11"/>
      <c r="V434" s="405"/>
    </row>
    <row r="435" spans="2:22">
      <c r="B435" s="11"/>
      <c r="C435" s="30"/>
      <c r="D435" s="30"/>
      <c r="E435" s="109"/>
      <c r="F435" s="276"/>
      <c r="G435" s="95"/>
      <c r="H435" s="340"/>
      <c r="I435" s="154"/>
      <c r="J435" s="144">
        <f t="shared" si="65"/>
        <v>0</v>
      </c>
      <c r="K435" s="140"/>
      <c r="L435" s="141"/>
      <c r="M435" s="145">
        <f t="shared" ca="1" si="63"/>
        <v>45990</v>
      </c>
      <c r="N435" s="145">
        <f t="shared" ca="1" si="64"/>
        <v>45990</v>
      </c>
      <c r="O435" s="140"/>
      <c r="P435" s="50"/>
      <c r="Q435" s="50"/>
      <c r="R435" s="50"/>
      <c r="S435" s="450">
        <f t="shared" si="66"/>
        <v>0</v>
      </c>
      <c r="T435" s="21"/>
      <c r="U435" s="11"/>
      <c r="V435" s="194"/>
    </row>
    <row r="436" spans="2:22">
      <c r="B436" s="11"/>
      <c r="C436" s="30"/>
      <c r="D436" s="30"/>
      <c r="E436" s="109"/>
      <c r="F436" s="275"/>
      <c r="G436" s="95"/>
      <c r="H436" s="340"/>
      <c r="I436" s="154"/>
      <c r="J436" s="144">
        <f t="shared" si="65"/>
        <v>0</v>
      </c>
      <c r="K436" s="140"/>
      <c r="L436" s="141"/>
      <c r="M436" s="145">
        <f t="shared" ca="1" si="63"/>
        <v>45990</v>
      </c>
      <c r="N436" s="145">
        <f t="shared" ca="1" si="64"/>
        <v>45990</v>
      </c>
      <c r="O436" s="140"/>
      <c r="P436" s="50"/>
      <c r="Q436" s="50"/>
      <c r="R436" s="50"/>
      <c r="S436" s="450">
        <f t="shared" si="66"/>
        <v>0</v>
      </c>
      <c r="T436" s="21"/>
      <c r="U436" s="11"/>
      <c r="V436" s="194"/>
    </row>
    <row r="437" spans="2:22">
      <c r="B437" s="11"/>
      <c r="C437" s="30"/>
      <c r="D437" s="30"/>
      <c r="E437" s="109"/>
      <c r="F437" s="275"/>
      <c r="G437" s="95"/>
      <c r="H437" s="340"/>
      <c r="I437" s="154"/>
      <c r="J437" s="144">
        <f t="shared" si="65"/>
        <v>0</v>
      </c>
      <c r="K437" s="140"/>
      <c r="L437" s="141"/>
      <c r="M437" s="145">
        <f t="shared" ca="1" si="63"/>
        <v>45990</v>
      </c>
      <c r="N437" s="145">
        <f t="shared" ca="1" si="64"/>
        <v>45990</v>
      </c>
      <c r="O437" s="140"/>
      <c r="P437" s="50"/>
      <c r="Q437" s="50"/>
      <c r="R437" s="50"/>
      <c r="S437" s="450">
        <f t="shared" si="66"/>
        <v>0</v>
      </c>
      <c r="T437" s="21"/>
      <c r="U437" s="11"/>
      <c r="V437" s="405"/>
    </row>
    <row r="438" spans="2:22">
      <c r="B438" s="30"/>
      <c r="C438" s="30"/>
      <c r="D438" s="30"/>
      <c r="E438" s="109"/>
      <c r="F438" s="276"/>
      <c r="G438" s="95"/>
      <c r="H438" s="340"/>
      <c r="I438" s="154"/>
      <c r="J438" s="144">
        <f t="shared" si="65"/>
        <v>0</v>
      </c>
      <c r="K438" s="140"/>
      <c r="L438" s="141"/>
      <c r="M438" s="145">
        <f t="shared" ref="M438:M453" ca="1" si="67">+$A$1-E438</f>
        <v>45990</v>
      </c>
      <c r="N438" s="145">
        <f t="shared" ref="N438:N453" ca="1" si="68">$A$1-L438</f>
        <v>45990</v>
      </c>
      <c r="O438" s="140"/>
      <c r="P438" s="50"/>
      <c r="Q438" s="50"/>
      <c r="R438" s="50"/>
      <c r="S438" s="450">
        <f t="shared" si="66"/>
        <v>0</v>
      </c>
      <c r="T438" s="21"/>
      <c r="U438" s="11"/>
      <c r="V438" s="194"/>
    </row>
    <row r="439" spans="2:22">
      <c r="B439" s="30"/>
      <c r="C439" s="30"/>
      <c r="D439" s="30"/>
      <c r="E439" s="109"/>
      <c r="F439" s="275"/>
      <c r="G439" s="95"/>
      <c r="H439" s="340"/>
      <c r="I439" s="154"/>
      <c r="J439" s="144">
        <f t="shared" si="65"/>
        <v>0</v>
      </c>
      <c r="K439" s="140"/>
      <c r="L439" s="141"/>
      <c r="M439" s="145">
        <f t="shared" ca="1" si="67"/>
        <v>45990</v>
      </c>
      <c r="N439" s="145">
        <f t="shared" ca="1" si="68"/>
        <v>45990</v>
      </c>
      <c r="O439" s="140"/>
      <c r="P439" s="50"/>
      <c r="Q439" s="50"/>
      <c r="R439" s="50"/>
      <c r="S439" s="450">
        <f t="shared" si="66"/>
        <v>0</v>
      </c>
      <c r="T439" s="21"/>
      <c r="U439" s="11"/>
      <c r="V439" s="194"/>
    </row>
    <row r="440" spans="2:22">
      <c r="B440" s="30"/>
      <c r="C440" s="30"/>
      <c r="D440" s="30"/>
      <c r="E440" s="109"/>
      <c r="F440" s="275"/>
      <c r="G440" s="95"/>
      <c r="H440" s="340"/>
      <c r="I440" s="154"/>
      <c r="J440" s="144">
        <f t="shared" si="65"/>
        <v>0</v>
      </c>
      <c r="K440" s="140"/>
      <c r="L440" s="141"/>
      <c r="M440" s="145">
        <f t="shared" ca="1" si="67"/>
        <v>45990</v>
      </c>
      <c r="N440" s="145">
        <f t="shared" ca="1" si="68"/>
        <v>45990</v>
      </c>
      <c r="O440" s="140"/>
      <c r="P440" s="50"/>
      <c r="Q440" s="50"/>
      <c r="R440" s="50"/>
      <c r="S440" s="450">
        <f t="shared" si="66"/>
        <v>0</v>
      </c>
      <c r="T440" s="21"/>
      <c r="U440" s="11"/>
      <c r="V440" s="405"/>
    </row>
    <row r="441" spans="2:22">
      <c r="B441" s="11"/>
      <c r="C441" s="30"/>
      <c r="D441" s="30"/>
      <c r="E441" s="109"/>
      <c r="F441" s="276"/>
      <c r="G441" s="95"/>
      <c r="H441" s="340"/>
      <c r="I441" s="154"/>
      <c r="J441" s="144">
        <f t="shared" ref="J441:J453" si="69">+G441-H441-I441</f>
        <v>0</v>
      </c>
      <c r="K441" s="140"/>
      <c r="L441" s="141"/>
      <c r="M441" s="145">
        <f t="shared" ca="1" si="67"/>
        <v>45990</v>
      </c>
      <c r="N441" s="145">
        <f t="shared" ca="1" si="68"/>
        <v>45990</v>
      </c>
      <c r="O441" s="140"/>
      <c r="P441" s="50"/>
      <c r="Q441" s="50"/>
      <c r="R441" s="50"/>
      <c r="S441" s="450">
        <f t="shared" ref="S441:S453" si="70">+J441-SUM(P441:R441)</f>
        <v>0</v>
      </c>
      <c r="T441" s="21"/>
      <c r="U441" s="11"/>
      <c r="V441" s="194"/>
    </row>
    <row r="442" spans="2:22">
      <c r="B442" s="11"/>
      <c r="C442" s="30"/>
      <c r="D442" s="30"/>
      <c r="E442" s="109"/>
      <c r="F442" s="275"/>
      <c r="G442" s="95"/>
      <c r="H442" s="340"/>
      <c r="I442" s="154"/>
      <c r="J442" s="144">
        <f t="shared" si="69"/>
        <v>0</v>
      </c>
      <c r="K442" s="140"/>
      <c r="L442" s="141"/>
      <c r="M442" s="145">
        <f t="shared" ca="1" si="67"/>
        <v>45990</v>
      </c>
      <c r="N442" s="145">
        <f t="shared" ca="1" si="68"/>
        <v>45990</v>
      </c>
      <c r="O442" s="140"/>
      <c r="P442" s="50"/>
      <c r="Q442" s="50"/>
      <c r="R442" s="50"/>
      <c r="S442" s="450">
        <f t="shared" si="70"/>
        <v>0</v>
      </c>
      <c r="T442" s="21"/>
      <c r="U442" s="11"/>
      <c r="V442" s="194"/>
    </row>
    <row r="443" spans="2:22">
      <c r="B443" s="11"/>
      <c r="C443" s="30"/>
      <c r="D443" s="30"/>
      <c r="E443" s="109"/>
      <c r="F443" s="275"/>
      <c r="G443" s="95"/>
      <c r="H443" s="340"/>
      <c r="I443" s="154"/>
      <c r="J443" s="144">
        <f t="shared" si="69"/>
        <v>0</v>
      </c>
      <c r="K443" s="140"/>
      <c r="L443" s="141"/>
      <c r="M443" s="145">
        <f t="shared" ca="1" si="67"/>
        <v>45990</v>
      </c>
      <c r="N443" s="145">
        <f t="shared" ca="1" si="68"/>
        <v>45990</v>
      </c>
      <c r="O443" s="140"/>
      <c r="P443" s="50"/>
      <c r="Q443" s="50"/>
      <c r="R443" s="50"/>
      <c r="S443" s="450">
        <f t="shared" si="70"/>
        <v>0</v>
      </c>
      <c r="T443" s="21"/>
      <c r="U443" s="11"/>
      <c r="V443" s="405"/>
    </row>
    <row r="444" spans="2:22">
      <c r="B444" s="11"/>
      <c r="C444" s="30"/>
      <c r="D444" s="30"/>
      <c r="E444" s="109"/>
      <c r="F444" s="275"/>
      <c r="G444" s="95"/>
      <c r="H444" s="340"/>
      <c r="I444" s="154"/>
      <c r="J444" s="144">
        <f t="shared" si="69"/>
        <v>0</v>
      </c>
      <c r="K444" s="140"/>
      <c r="L444" s="141"/>
      <c r="M444" s="145">
        <f t="shared" ca="1" si="67"/>
        <v>45990</v>
      </c>
      <c r="N444" s="145">
        <f t="shared" ca="1" si="68"/>
        <v>45990</v>
      </c>
      <c r="O444" s="140"/>
      <c r="P444" s="50"/>
      <c r="Q444" s="50"/>
      <c r="R444" s="50"/>
      <c r="S444" s="450">
        <f t="shared" si="70"/>
        <v>0</v>
      </c>
      <c r="T444" s="21"/>
      <c r="U444" s="11"/>
      <c r="V444" s="194"/>
    </row>
    <row r="445" spans="2:22">
      <c r="B445" s="11"/>
      <c r="C445" s="30"/>
      <c r="D445" s="30"/>
      <c r="E445" s="109"/>
      <c r="F445" s="275"/>
      <c r="G445" s="95"/>
      <c r="H445" s="340"/>
      <c r="I445" s="154"/>
      <c r="J445" s="144">
        <f t="shared" si="69"/>
        <v>0</v>
      </c>
      <c r="K445" s="140"/>
      <c r="L445" s="141"/>
      <c r="M445" s="145">
        <f t="shared" ca="1" si="67"/>
        <v>45990</v>
      </c>
      <c r="N445" s="145">
        <f t="shared" ca="1" si="68"/>
        <v>45990</v>
      </c>
      <c r="O445" s="140"/>
      <c r="P445" s="50"/>
      <c r="Q445" s="50"/>
      <c r="R445" s="50"/>
      <c r="S445" s="450">
        <f t="shared" si="70"/>
        <v>0</v>
      </c>
      <c r="T445" s="21"/>
      <c r="U445" s="11"/>
      <c r="V445" s="405"/>
    </row>
    <row r="446" spans="2:22">
      <c r="B446" s="11"/>
      <c r="C446" s="30"/>
      <c r="D446" s="30"/>
      <c r="E446" s="109"/>
      <c r="F446" s="276"/>
      <c r="G446" s="95"/>
      <c r="H446" s="340"/>
      <c r="I446" s="154"/>
      <c r="J446" s="144">
        <f t="shared" si="69"/>
        <v>0</v>
      </c>
      <c r="K446" s="140"/>
      <c r="L446" s="141"/>
      <c r="M446" s="145">
        <f t="shared" ca="1" si="67"/>
        <v>45990</v>
      </c>
      <c r="N446" s="145">
        <f t="shared" ca="1" si="68"/>
        <v>45990</v>
      </c>
      <c r="O446" s="140"/>
      <c r="P446" s="50"/>
      <c r="Q446" s="50"/>
      <c r="R446" s="50"/>
      <c r="S446" s="450">
        <f t="shared" si="70"/>
        <v>0</v>
      </c>
      <c r="T446" s="21"/>
      <c r="U446" s="11"/>
      <c r="V446" s="194"/>
    </row>
    <row r="447" spans="2:22">
      <c r="B447" s="11"/>
      <c r="C447" s="30"/>
      <c r="D447" s="30"/>
      <c r="E447" s="109"/>
      <c r="F447" s="275"/>
      <c r="G447" s="95"/>
      <c r="H447" s="340"/>
      <c r="I447" s="154"/>
      <c r="J447" s="144">
        <f t="shared" si="69"/>
        <v>0</v>
      </c>
      <c r="K447" s="140"/>
      <c r="L447" s="141"/>
      <c r="M447" s="145">
        <f t="shared" ca="1" si="67"/>
        <v>45990</v>
      </c>
      <c r="N447" s="145">
        <f t="shared" ca="1" si="68"/>
        <v>45990</v>
      </c>
      <c r="O447" s="140"/>
      <c r="P447" s="50"/>
      <c r="Q447" s="50"/>
      <c r="R447" s="50"/>
      <c r="S447" s="450">
        <f t="shared" si="70"/>
        <v>0</v>
      </c>
      <c r="T447" s="21"/>
      <c r="U447" s="11"/>
      <c r="V447" s="194"/>
    </row>
    <row r="448" spans="2:22">
      <c r="B448" s="11"/>
      <c r="C448" s="30"/>
      <c r="D448" s="30"/>
      <c r="E448" s="109"/>
      <c r="F448" s="275"/>
      <c r="G448" s="95"/>
      <c r="H448" s="340"/>
      <c r="I448" s="154"/>
      <c r="J448" s="144">
        <f t="shared" si="69"/>
        <v>0</v>
      </c>
      <c r="K448" s="140"/>
      <c r="L448" s="141"/>
      <c r="M448" s="145">
        <f t="shared" ca="1" si="67"/>
        <v>45990</v>
      </c>
      <c r="N448" s="145">
        <f t="shared" ca="1" si="68"/>
        <v>45990</v>
      </c>
      <c r="O448" s="140"/>
      <c r="P448" s="50"/>
      <c r="Q448" s="50"/>
      <c r="R448" s="50"/>
      <c r="S448" s="450">
        <f t="shared" si="70"/>
        <v>0</v>
      </c>
      <c r="T448" s="21"/>
      <c r="U448" s="11"/>
      <c r="V448" s="405"/>
    </row>
    <row r="449" spans="2:22">
      <c r="B449" s="11"/>
      <c r="C449" s="30"/>
      <c r="D449" s="30"/>
      <c r="E449" s="109"/>
      <c r="F449" s="275"/>
      <c r="G449" s="95"/>
      <c r="H449" s="340"/>
      <c r="I449" s="154"/>
      <c r="J449" s="144">
        <f t="shared" si="69"/>
        <v>0</v>
      </c>
      <c r="K449" s="140"/>
      <c r="L449" s="141"/>
      <c r="M449" s="145">
        <f t="shared" ca="1" si="67"/>
        <v>45990</v>
      </c>
      <c r="N449" s="145">
        <f t="shared" ca="1" si="68"/>
        <v>45990</v>
      </c>
      <c r="O449" s="140"/>
      <c r="P449" s="50"/>
      <c r="Q449" s="50"/>
      <c r="R449" s="50"/>
      <c r="S449" s="450">
        <f t="shared" si="70"/>
        <v>0</v>
      </c>
      <c r="T449" s="21"/>
      <c r="U449" s="11"/>
      <c r="V449" s="194"/>
    </row>
    <row r="450" spans="2:22">
      <c r="B450" s="11"/>
      <c r="C450" s="30"/>
      <c r="D450" s="30"/>
      <c r="E450" s="109"/>
      <c r="F450" s="275"/>
      <c r="G450" s="95"/>
      <c r="H450" s="340"/>
      <c r="I450" s="154"/>
      <c r="J450" s="144">
        <f t="shared" si="69"/>
        <v>0</v>
      </c>
      <c r="K450" s="140"/>
      <c r="L450" s="141"/>
      <c r="M450" s="145">
        <f t="shared" ca="1" si="67"/>
        <v>45990</v>
      </c>
      <c r="N450" s="145">
        <f t="shared" ca="1" si="68"/>
        <v>45990</v>
      </c>
      <c r="O450" s="140"/>
      <c r="P450" s="50"/>
      <c r="Q450" s="50"/>
      <c r="R450" s="50"/>
      <c r="S450" s="450">
        <f t="shared" si="70"/>
        <v>0</v>
      </c>
      <c r="T450" s="21"/>
      <c r="U450" s="11"/>
      <c r="V450" s="405"/>
    </row>
    <row r="451" spans="2:22">
      <c r="B451" s="11"/>
      <c r="C451" s="30"/>
      <c r="D451" s="30"/>
      <c r="E451" s="109"/>
      <c r="F451" s="276"/>
      <c r="G451" s="95"/>
      <c r="H451" s="340"/>
      <c r="I451" s="154"/>
      <c r="J451" s="144">
        <f t="shared" si="69"/>
        <v>0</v>
      </c>
      <c r="K451" s="140"/>
      <c r="L451" s="141"/>
      <c r="M451" s="145">
        <f t="shared" ca="1" si="67"/>
        <v>45990</v>
      </c>
      <c r="N451" s="145">
        <f t="shared" ca="1" si="68"/>
        <v>45990</v>
      </c>
      <c r="O451" s="140"/>
      <c r="P451" s="50"/>
      <c r="Q451" s="50"/>
      <c r="R451" s="50"/>
      <c r="S451" s="450">
        <f t="shared" si="70"/>
        <v>0</v>
      </c>
      <c r="T451" s="21"/>
      <c r="U451" s="11"/>
      <c r="V451" s="194"/>
    </row>
    <row r="452" spans="2:22">
      <c r="B452" s="11"/>
      <c r="C452" s="30"/>
      <c r="D452" s="30"/>
      <c r="E452" s="109"/>
      <c r="F452" s="275"/>
      <c r="G452" s="95"/>
      <c r="H452" s="340"/>
      <c r="I452" s="154"/>
      <c r="J452" s="144">
        <f t="shared" si="69"/>
        <v>0</v>
      </c>
      <c r="K452" s="140"/>
      <c r="L452" s="141"/>
      <c r="M452" s="145">
        <f t="shared" ca="1" si="67"/>
        <v>45990</v>
      </c>
      <c r="N452" s="145">
        <f t="shared" ca="1" si="68"/>
        <v>45990</v>
      </c>
      <c r="O452" s="140"/>
      <c r="P452" s="50"/>
      <c r="Q452" s="50"/>
      <c r="R452" s="50"/>
      <c r="S452" s="450">
        <f t="shared" si="70"/>
        <v>0</v>
      </c>
      <c r="T452" s="21"/>
      <c r="U452" s="11"/>
      <c r="V452" s="194"/>
    </row>
    <row r="453" spans="2:22">
      <c r="B453" s="11"/>
      <c r="C453" s="30"/>
      <c r="D453" s="30"/>
      <c r="E453" s="109"/>
      <c r="F453" s="275"/>
      <c r="G453" s="95"/>
      <c r="H453" s="340"/>
      <c r="I453" s="154"/>
      <c r="J453" s="144">
        <f t="shared" si="69"/>
        <v>0</v>
      </c>
      <c r="K453" s="140"/>
      <c r="L453" s="141"/>
      <c r="M453" s="145">
        <f t="shared" ca="1" si="67"/>
        <v>45990</v>
      </c>
      <c r="N453" s="145">
        <f t="shared" ca="1" si="68"/>
        <v>45990</v>
      </c>
      <c r="O453" s="140"/>
      <c r="P453" s="50"/>
      <c r="Q453" s="50"/>
      <c r="R453" s="50"/>
      <c r="S453" s="450">
        <f t="shared" si="70"/>
        <v>0</v>
      </c>
      <c r="T453" s="21"/>
      <c r="U453" s="11"/>
      <c r="V453" s="405"/>
    </row>
  </sheetData>
  <autoFilter ref="B5:V453"/>
  <mergeCells count="1">
    <mergeCell ref="B2:N2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2:P455"/>
  <sheetViews>
    <sheetView topLeftCell="A359" workbookViewId="0">
      <selection activeCell="C390" sqref="C390"/>
    </sheetView>
  </sheetViews>
  <sheetFormatPr defaultRowHeight="15"/>
  <cols>
    <col min="3" max="3" width="10.42578125" style="79" bestFit="1" customWidth="1"/>
    <col min="5" max="5" width="26.85546875" style="44" bestFit="1" customWidth="1"/>
    <col min="6" max="6" width="12.5703125" style="331" bestFit="1" customWidth="1"/>
    <col min="7" max="7" width="8.85546875" style="51" customWidth="1"/>
    <col min="8" max="8" width="8.85546875" style="324" customWidth="1"/>
    <col min="9" max="9" width="0.5703125" customWidth="1"/>
    <col min="10" max="10" width="14.85546875" style="51" customWidth="1"/>
    <col min="11" max="11" width="7.85546875" customWidth="1"/>
    <col min="12" max="12" width="6.28515625" style="44" customWidth="1"/>
    <col min="13" max="13" width="9.140625" style="44"/>
  </cols>
  <sheetData>
    <row r="2" spans="3:13">
      <c r="G2" s="51" t="s">
        <v>134</v>
      </c>
      <c r="H2" s="324" t="s">
        <v>135</v>
      </c>
    </row>
    <row r="3" spans="3:13" s="57" customFormat="1">
      <c r="C3" s="323" t="s">
        <v>0</v>
      </c>
      <c r="D3" s="56" t="s">
        <v>129</v>
      </c>
      <c r="E3" s="136" t="s">
        <v>19</v>
      </c>
      <c r="F3" s="332" t="s">
        <v>2</v>
      </c>
      <c r="G3" s="328" t="s">
        <v>132</v>
      </c>
      <c r="H3" s="325" t="s">
        <v>133</v>
      </c>
      <c r="J3" s="328" t="s">
        <v>136</v>
      </c>
      <c r="L3" s="59" t="s">
        <v>130</v>
      </c>
      <c r="M3" s="59" t="s">
        <v>131</v>
      </c>
    </row>
    <row r="4" spans="3:13">
      <c r="C4" s="79" t="s">
        <v>87</v>
      </c>
      <c r="D4">
        <v>591</v>
      </c>
      <c r="E4" s="44" t="s">
        <v>29</v>
      </c>
      <c r="F4" s="331">
        <v>14719</v>
      </c>
      <c r="G4" s="51">
        <v>295</v>
      </c>
      <c r="J4" s="51">
        <f>+F4-G4-H4</f>
        <v>14424</v>
      </c>
      <c r="L4" s="58">
        <f>+G4/F4</f>
        <v>2.00421224267953E-2</v>
      </c>
      <c r="M4" s="58">
        <f>+H4/G4</f>
        <v>0</v>
      </c>
    </row>
    <row r="5" spans="3:13">
      <c r="C5" s="79" t="s">
        <v>139</v>
      </c>
      <c r="D5">
        <v>641</v>
      </c>
      <c r="E5" s="44" t="s">
        <v>137</v>
      </c>
      <c r="F5" s="331">
        <f>45765-7235</f>
        <v>38530</v>
      </c>
      <c r="G5" s="51">
        <v>1155</v>
      </c>
      <c r="H5" s="324">
        <v>0</v>
      </c>
      <c r="J5" s="51">
        <f t="shared" ref="J5:J14" si="0">+F5-G5-H5</f>
        <v>37375</v>
      </c>
    </row>
    <row r="6" spans="3:13">
      <c r="C6" s="79" t="s">
        <v>140</v>
      </c>
      <c r="D6">
        <v>631</v>
      </c>
      <c r="E6" s="44" t="s">
        <v>138</v>
      </c>
      <c r="F6" s="331">
        <v>10895</v>
      </c>
      <c r="G6" s="51">
        <v>218</v>
      </c>
      <c r="J6" s="51">
        <f t="shared" si="0"/>
        <v>10677</v>
      </c>
    </row>
    <row r="7" spans="3:13">
      <c r="C7" s="79" t="s">
        <v>140</v>
      </c>
      <c r="D7">
        <v>671</v>
      </c>
      <c r="E7" s="44" t="s">
        <v>141</v>
      </c>
      <c r="F7" s="331">
        <v>398128</v>
      </c>
      <c r="G7" s="51">
        <v>11943</v>
      </c>
      <c r="H7" s="324">
        <v>7962</v>
      </c>
      <c r="J7" s="51">
        <f t="shared" si="0"/>
        <v>378223</v>
      </c>
    </row>
    <row r="8" spans="3:13">
      <c r="J8" s="51">
        <f t="shared" si="0"/>
        <v>0</v>
      </c>
    </row>
    <row r="9" spans="3:13">
      <c r="J9" s="51">
        <f t="shared" si="0"/>
        <v>0</v>
      </c>
    </row>
    <row r="10" spans="3:13">
      <c r="J10" s="51">
        <f t="shared" si="0"/>
        <v>0</v>
      </c>
    </row>
    <row r="11" spans="3:13">
      <c r="J11" s="51">
        <f t="shared" si="0"/>
        <v>0</v>
      </c>
    </row>
    <row r="12" spans="3:13">
      <c r="J12" s="51">
        <f t="shared" si="0"/>
        <v>0</v>
      </c>
    </row>
    <row r="13" spans="3:13">
      <c r="J13" s="51">
        <f t="shared" si="0"/>
        <v>0</v>
      </c>
    </row>
    <row r="14" spans="3:13">
      <c r="J14" s="51">
        <f t="shared" si="0"/>
        <v>0</v>
      </c>
    </row>
    <row r="36" spans="3:13">
      <c r="G36" s="51" t="s">
        <v>802</v>
      </c>
    </row>
    <row r="37" spans="3:13">
      <c r="C37" s="323" t="s">
        <v>0</v>
      </c>
      <c r="D37" s="56" t="s">
        <v>129</v>
      </c>
      <c r="E37" s="136" t="s">
        <v>19</v>
      </c>
      <c r="F37" s="332" t="s">
        <v>2</v>
      </c>
      <c r="G37" s="328" t="s">
        <v>132</v>
      </c>
      <c r="H37" s="325" t="s">
        <v>133</v>
      </c>
      <c r="I37" s="57"/>
      <c r="J37" s="328" t="s">
        <v>136</v>
      </c>
      <c r="K37" s="57"/>
      <c r="L37" s="59" t="s">
        <v>130</v>
      </c>
      <c r="M37" s="59" t="s">
        <v>131</v>
      </c>
    </row>
    <row r="38" spans="3:13">
      <c r="C38" s="184">
        <v>45871</v>
      </c>
      <c r="D38" s="164">
        <v>1140</v>
      </c>
      <c r="E38" s="129" t="s">
        <v>43</v>
      </c>
      <c r="F38" s="333">
        <v>55993</v>
      </c>
      <c r="G38" s="339">
        <v>1679</v>
      </c>
      <c r="H38" s="341">
        <v>1119</v>
      </c>
      <c r="J38" s="51">
        <f>+F38-G38-H38</f>
        <v>53195</v>
      </c>
      <c r="L38" s="58">
        <f>+G38/F38</f>
        <v>2.9985891093529549E-2</v>
      </c>
      <c r="M38" s="58">
        <f>+H38/G38</f>
        <v>0.6664681357951161</v>
      </c>
    </row>
    <row r="39" spans="3:13">
      <c r="C39" s="184">
        <v>45876</v>
      </c>
      <c r="D39" s="164">
        <v>1360</v>
      </c>
      <c r="E39" s="129" t="s">
        <v>211</v>
      </c>
      <c r="F39" s="333">
        <v>343254</v>
      </c>
      <c r="G39" s="339">
        <v>10298</v>
      </c>
      <c r="H39" s="341">
        <v>6865</v>
      </c>
      <c r="J39" s="51">
        <f t="shared" ref="J39:J46" si="1">+F39-G39-H39</f>
        <v>326091</v>
      </c>
    </row>
    <row r="40" spans="3:13">
      <c r="C40" s="184">
        <v>45876</v>
      </c>
      <c r="D40" s="185" t="s">
        <v>216</v>
      </c>
      <c r="E40" s="129" t="s">
        <v>212</v>
      </c>
      <c r="F40" s="333">
        <v>54364</v>
      </c>
      <c r="G40" s="339">
        <v>1547</v>
      </c>
      <c r="H40" s="326"/>
      <c r="J40" s="51">
        <f t="shared" si="1"/>
        <v>52817</v>
      </c>
    </row>
    <row r="41" spans="3:13">
      <c r="C41" s="184">
        <v>45876</v>
      </c>
      <c r="D41" s="185" t="s">
        <v>217</v>
      </c>
      <c r="E41" s="129" t="s">
        <v>213</v>
      </c>
      <c r="F41" s="333">
        <v>43664</v>
      </c>
      <c r="G41" s="329"/>
      <c r="H41" s="326"/>
      <c r="J41" s="51">
        <f>+F41-L41-H41</f>
        <v>42355</v>
      </c>
      <c r="L41" s="182">
        <v>1309</v>
      </c>
    </row>
    <row r="42" spans="3:13">
      <c r="C42" s="184">
        <v>45876</v>
      </c>
      <c r="D42" s="185" t="s">
        <v>218</v>
      </c>
      <c r="E42" s="129" t="s">
        <v>214</v>
      </c>
      <c r="F42" s="333">
        <v>162304</v>
      </c>
      <c r="G42" s="329"/>
      <c r="H42" s="326"/>
      <c r="J42" s="51">
        <f t="shared" si="1"/>
        <v>162304</v>
      </c>
      <c r="L42">
        <v>4869</v>
      </c>
    </row>
    <row r="43" spans="3:13">
      <c r="C43" s="184">
        <v>45878</v>
      </c>
      <c r="D43" s="164">
        <v>1500</v>
      </c>
      <c r="E43" s="129" t="s">
        <v>155</v>
      </c>
      <c r="F43" s="333">
        <v>363277</v>
      </c>
      <c r="G43" s="339">
        <v>10898</v>
      </c>
      <c r="H43" s="341">
        <v>7265</v>
      </c>
      <c r="J43" s="51">
        <f t="shared" si="1"/>
        <v>345114</v>
      </c>
      <c r="L43"/>
    </row>
    <row r="44" spans="3:13">
      <c r="C44" s="184">
        <v>45880</v>
      </c>
      <c r="D44" s="164">
        <v>1580</v>
      </c>
      <c r="E44" s="129" t="s">
        <v>232</v>
      </c>
      <c r="F44" s="333">
        <v>23548</v>
      </c>
      <c r="G44" s="329"/>
      <c r="H44" s="326"/>
      <c r="J44" s="51">
        <f t="shared" si="1"/>
        <v>23548</v>
      </c>
      <c r="L44">
        <v>706</v>
      </c>
    </row>
    <row r="45" spans="3:13">
      <c r="C45" s="184">
        <v>45880</v>
      </c>
      <c r="D45" s="164">
        <v>1560</v>
      </c>
      <c r="E45" s="129" t="s">
        <v>233</v>
      </c>
      <c r="F45" s="333">
        <v>32924</v>
      </c>
      <c r="G45" s="329">
        <v>987</v>
      </c>
      <c r="H45" s="326"/>
      <c r="J45" s="51">
        <f t="shared" si="1"/>
        <v>31937</v>
      </c>
      <c r="L45"/>
    </row>
    <row r="46" spans="3:13">
      <c r="C46" s="184">
        <v>45880</v>
      </c>
      <c r="D46" s="164">
        <v>1570</v>
      </c>
      <c r="E46" s="129" t="s">
        <v>149</v>
      </c>
      <c r="F46" s="333">
        <v>31586</v>
      </c>
      <c r="G46" s="329">
        <v>816</v>
      </c>
      <c r="H46" s="326"/>
      <c r="J46" s="51">
        <f t="shared" si="1"/>
        <v>30770</v>
      </c>
      <c r="L46"/>
    </row>
    <row r="47" spans="3:13">
      <c r="C47" s="184">
        <v>45884</v>
      </c>
      <c r="D47" s="164">
        <v>1660</v>
      </c>
      <c r="E47" s="129" t="s">
        <v>262</v>
      </c>
      <c r="F47" s="333">
        <v>128207</v>
      </c>
      <c r="G47" s="329"/>
      <c r="H47" s="326"/>
      <c r="J47" s="51">
        <f>+F47-L47-M47</f>
        <v>121797</v>
      </c>
      <c r="L47" s="183">
        <v>3846</v>
      </c>
      <c r="M47" s="183">
        <v>2564</v>
      </c>
    </row>
    <row r="48" spans="3:13">
      <c r="C48" s="184">
        <v>45884</v>
      </c>
      <c r="D48" s="164">
        <v>1670</v>
      </c>
      <c r="E48" s="129" t="s">
        <v>211</v>
      </c>
      <c r="F48" s="333">
        <v>256564</v>
      </c>
      <c r="G48" s="329">
        <v>8433</v>
      </c>
      <c r="H48" s="342">
        <v>5131</v>
      </c>
      <c r="J48" s="51">
        <f>+F48-G48-H48</f>
        <v>243000</v>
      </c>
      <c r="L48">
        <v>7696</v>
      </c>
      <c r="M48"/>
    </row>
    <row r="49" spans="3:13">
      <c r="C49" s="184">
        <v>45884</v>
      </c>
      <c r="D49" s="164">
        <v>1650</v>
      </c>
      <c r="E49" s="129" t="s">
        <v>263</v>
      </c>
      <c r="F49" s="333">
        <v>62243</v>
      </c>
      <c r="G49" s="329">
        <v>1243</v>
      </c>
      <c r="H49" s="326"/>
      <c r="J49" s="51">
        <f t="shared" ref="J49:J57" si="2">+F49-G49-H49</f>
        <v>61000</v>
      </c>
      <c r="L49"/>
      <c r="M49">
        <v>1245</v>
      </c>
    </row>
    <row r="50" spans="3:13">
      <c r="C50" s="184">
        <v>45885</v>
      </c>
      <c r="D50" s="164">
        <v>1690</v>
      </c>
      <c r="E50" s="129" t="s">
        <v>90</v>
      </c>
      <c r="F50" s="333">
        <v>54940</v>
      </c>
      <c r="G50" s="339">
        <v>1098</v>
      </c>
      <c r="H50" s="326"/>
      <c r="J50" s="51">
        <v>53841</v>
      </c>
      <c r="L50"/>
      <c r="M50"/>
    </row>
    <row r="51" spans="3:13">
      <c r="C51" s="184">
        <v>45885</v>
      </c>
      <c r="D51" s="164">
        <v>1680</v>
      </c>
      <c r="E51" s="129" t="s">
        <v>222</v>
      </c>
      <c r="F51" s="333">
        <v>38498</v>
      </c>
      <c r="G51" s="329"/>
      <c r="H51" s="326"/>
      <c r="J51" s="51">
        <f t="shared" si="2"/>
        <v>38498</v>
      </c>
      <c r="L51">
        <v>1155</v>
      </c>
      <c r="M51"/>
    </row>
    <row r="52" spans="3:13">
      <c r="C52" s="184">
        <v>45886</v>
      </c>
      <c r="D52" s="164">
        <v>1780</v>
      </c>
      <c r="E52" s="129" t="s">
        <v>278</v>
      </c>
      <c r="F52" s="333">
        <v>50937</v>
      </c>
      <c r="G52" s="329"/>
      <c r="H52" s="326"/>
      <c r="J52" s="51">
        <f t="shared" si="2"/>
        <v>50937</v>
      </c>
      <c r="L52">
        <v>1528</v>
      </c>
      <c r="M52"/>
    </row>
    <row r="53" spans="3:13">
      <c r="C53" s="184">
        <v>45886</v>
      </c>
      <c r="D53" s="164">
        <v>1820</v>
      </c>
      <c r="E53" s="129" t="s">
        <v>157</v>
      </c>
      <c r="F53" s="333">
        <v>71779</v>
      </c>
      <c r="G53" s="329"/>
      <c r="H53" s="326"/>
      <c r="J53" s="51">
        <f t="shared" si="2"/>
        <v>71779</v>
      </c>
      <c r="L53">
        <v>2153</v>
      </c>
      <c r="M53"/>
    </row>
    <row r="54" spans="3:13">
      <c r="C54" s="184">
        <v>45886</v>
      </c>
      <c r="D54" s="164">
        <v>1830</v>
      </c>
      <c r="E54" s="129" t="s">
        <v>156</v>
      </c>
      <c r="F54" s="333">
        <v>1402779</v>
      </c>
      <c r="G54" s="339">
        <v>42083</v>
      </c>
      <c r="H54" s="341">
        <v>28044</v>
      </c>
      <c r="J54" s="51">
        <f t="shared" si="2"/>
        <v>1332652</v>
      </c>
      <c r="L54"/>
      <c r="M54"/>
    </row>
    <row r="55" spans="3:13">
      <c r="C55" s="184">
        <v>45887</v>
      </c>
      <c r="D55" s="164">
        <v>1860</v>
      </c>
      <c r="E55" s="129" t="s">
        <v>109</v>
      </c>
      <c r="F55" s="333">
        <v>14475</v>
      </c>
      <c r="G55" s="329"/>
      <c r="H55" s="326"/>
      <c r="J55" s="51">
        <f t="shared" si="2"/>
        <v>14475</v>
      </c>
      <c r="L55"/>
      <c r="M55"/>
    </row>
    <row r="56" spans="3:13">
      <c r="C56" s="184">
        <v>45887</v>
      </c>
      <c r="D56" s="164">
        <v>1870</v>
      </c>
      <c r="E56" s="129" t="s">
        <v>292</v>
      </c>
      <c r="F56" s="333">
        <v>23258</v>
      </c>
      <c r="G56" s="339">
        <v>697</v>
      </c>
      <c r="H56" s="326"/>
      <c r="J56" s="51">
        <f t="shared" si="2"/>
        <v>22561</v>
      </c>
      <c r="L56"/>
      <c r="M56"/>
    </row>
    <row r="57" spans="3:13">
      <c r="C57" s="184">
        <v>45887</v>
      </c>
      <c r="D57" s="164">
        <v>1900</v>
      </c>
      <c r="E57" s="129" t="s">
        <v>108</v>
      </c>
      <c r="F57" s="333">
        <v>290194</v>
      </c>
      <c r="G57" s="329"/>
      <c r="H57" s="326"/>
      <c r="J57" s="51">
        <f t="shared" si="2"/>
        <v>290194</v>
      </c>
      <c r="L57">
        <v>8705</v>
      </c>
      <c r="M57">
        <v>5803</v>
      </c>
    </row>
    <row r="58" spans="3:13">
      <c r="C58" s="184">
        <v>45887</v>
      </c>
      <c r="D58" s="164">
        <v>1880</v>
      </c>
      <c r="E58" s="129" t="s">
        <v>293</v>
      </c>
      <c r="F58" s="333">
        <v>17308</v>
      </c>
      <c r="G58" s="329"/>
      <c r="H58" s="326"/>
      <c r="J58" s="51">
        <f t="shared" ref="J58:J64" si="3">+F58-G58-H58</f>
        <v>17308</v>
      </c>
      <c r="L58"/>
      <c r="M58"/>
    </row>
    <row r="59" spans="3:13">
      <c r="C59" s="184">
        <v>45887</v>
      </c>
      <c r="D59" s="164">
        <v>1910</v>
      </c>
      <c r="E59" s="129" t="s">
        <v>168</v>
      </c>
      <c r="F59" s="333">
        <v>49304</v>
      </c>
      <c r="G59" s="329"/>
      <c r="H59" s="326"/>
      <c r="J59" s="51">
        <f t="shared" si="3"/>
        <v>49304</v>
      </c>
      <c r="L59">
        <v>1479</v>
      </c>
      <c r="M59"/>
    </row>
    <row r="60" spans="3:13">
      <c r="C60" s="184">
        <v>45890</v>
      </c>
      <c r="D60" s="164">
        <v>1970</v>
      </c>
      <c r="E60" s="129" t="s">
        <v>305</v>
      </c>
      <c r="F60" s="333">
        <v>69178</v>
      </c>
      <c r="G60" s="329">
        <v>2075</v>
      </c>
      <c r="H60" s="326"/>
      <c r="J60" s="51">
        <f t="shared" si="3"/>
        <v>67103</v>
      </c>
      <c r="L60"/>
      <c r="M60"/>
    </row>
    <row r="61" spans="3:13">
      <c r="C61" s="184">
        <v>45890</v>
      </c>
      <c r="D61" s="164">
        <v>1990</v>
      </c>
      <c r="E61" s="129" t="s">
        <v>306</v>
      </c>
      <c r="F61" s="333">
        <v>18159</v>
      </c>
      <c r="G61" s="329">
        <v>545</v>
      </c>
      <c r="H61" s="326"/>
      <c r="J61" s="51">
        <f t="shared" si="3"/>
        <v>17614</v>
      </c>
      <c r="L61"/>
      <c r="M61"/>
    </row>
    <row r="62" spans="3:13">
      <c r="C62" s="184">
        <v>45891</v>
      </c>
      <c r="D62" s="164">
        <v>2010</v>
      </c>
      <c r="E62" s="129" t="s">
        <v>315</v>
      </c>
      <c r="F62" s="333">
        <v>102782</v>
      </c>
      <c r="G62" s="339">
        <v>3083</v>
      </c>
      <c r="H62" s="326"/>
      <c r="J62" s="51">
        <f t="shared" si="3"/>
        <v>99699</v>
      </c>
      <c r="L62"/>
      <c r="M62"/>
    </row>
    <row r="63" spans="3:13">
      <c r="C63" s="184">
        <v>45870</v>
      </c>
      <c r="D63" s="164">
        <v>1070</v>
      </c>
      <c r="E63" s="129" t="s">
        <v>194</v>
      </c>
      <c r="F63" s="333">
        <v>32113</v>
      </c>
      <c r="G63" s="339">
        <v>964</v>
      </c>
      <c r="H63" s="326"/>
      <c r="J63" s="51">
        <f t="shared" si="3"/>
        <v>31149</v>
      </c>
      <c r="L63"/>
      <c r="M63"/>
    </row>
    <row r="64" spans="3:13">
      <c r="C64" s="184">
        <v>45877</v>
      </c>
      <c r="D64" s="164">
        <v>1380</v>
      </c>
      <c r="E64" s="129" t="s">
        <v>221</v>
      </c>
      <c r="F64" s="333">
        <v>168522</v>
      </c>
      <c r="G64" s="339">
        <v>3452</v>
      </c>
      <c r="H64" s="326"/>
      <c r="J64" s="51">
        <f t="shared" si="3"/>
        <v>165070</v>
      </c>
      <c r="L64"/>
      <c r="M64"/>
    </row>
    <row r="65" spans="3:13">
      <c r="C65" s="184">
        <v>45877</v>
      </c>
      <c r="D65" s="164">
        <v>1390</v>
      </c>
      <c r="E65" s="129" t="s">
        <v>36</v>
      </c>
      <c r="F65" s="333">
        <v>100238</v>
      </c>
      <c r="G65" s="339">
        <v>3007</v>
      </c>
      <c r="H65" s="326"/>
      <c r="J65" s="51">
        <f t="shared" ref="J65:J71" si="4">+F65-G65-H65</f>
        <v>97231</v>
      </c>
      <c r="L65"/>
      <c r="M65"/>
    </row>
    <row r="66" spans="3:13">
      <c r="C66" s="184">
        <v>45885</v>
      </c>
      <c r="D66" s="164">
        <v>1720</v>
      </c>
      <c r="E66" s="129" t="s">
        <v>223</v>
      </c>
      <c r="F66" s="333">
        <v>71945</v>
      </c>
      <c r="G66" s="329">
        <v>1945</v>
      </c>
      <c r="H66" s="326"/>
      <c r="J66" s="51">
        <f t="shared" si="4"/>
        <v>70000</v>
      </c>
      <c r="L66"/>
      <c r="M66"/>
    </row>
    <row r="67" spans="3:13">
      <c r="C67" s="184">
        <v>45885</v>
      </c>
      <c r="D67" s="164">
        <v>1730</v>
      </c>
      <c r="E67" s="129" t="s">
        <v>194</v>
      </c>
      <c r="F67" s="333">
        <v>40244</v>
      </c>
      <c r="G67" s="339">
        <v>1214</v>
      </c>
      <c r="H67" s="341"/>
      <c r="J67" s="51">
        <f t="shared" si="4"/>
        <v>39030</v>
      </c>
      <c r="L67"/>
      <c r="M67"/>
    </row>
    <row r="68" spans="3:13">
      <c r="C68" s="184">
        <v>45885</v>
      </c>
      <c r="D68" s="164">
        <v>1750</v>
      </c>
      <c r="E68" s="129" t="s">
        <v>269</v>
      </c>
      <c r="F68" s="333">
        <v>490748</v>
      </c>
      <c r="G68" s="329">
        <v>14723</v>
      </c>
      <c r="H68" s="326">
        <v>9815</v>
      </c>
      <c r="J68" s="51">
        <f t="shared" si="4"/>
        <v>466210</v>
      </c>
      <c r="L68"/>
      <c r="M68"/>
    </row>
    <row r="69" spans="3:13">
      <c r="C69" s="184">
        <v>45877</v>
      </c>
      <c r="D69" s="164">
        <v>1400</v>
      </c>
      <c r="E69" s="321" t="s">
        <v>223</v>
      </c>
      <c r="F69" s="334">
        <v>114142</v>
      </c>
      <c r="G69" s="329"/>
      <c r="H69" s="326"/>
      <c r="J69" s="51">
        <f t="shared" si="4"/>
        <v>114142</v>
      </c>
      <c r="L69">
        <v>3424</v>
      </c>
    </row>
    <row r="70" spans="3:13">
      <c r="C70" s="184">
        <v>45870</v>
      </c>
      <c r="D70" s="164">
        <v>1040</v>
      </c>
      <c r="E70" s="129" t="s">
        <v>505</v>
      </c>
      <c r="F70" s="333">
        <v>49646</v>
      </c>
      <c r="G70" s="329">
        <v>1489</v>
      </c>
      <c r="J70" s="51">
        <f t="shared" si="4"/>
        <v>48157</v>
      </c>
      <c r="L70"/>
    </row>
    <row r="71" spans="3:13">
      <c r="C71" s="184">
        <v>45870</v>
      </c>
      <c r="D71" s="164">
        <v>1130</v>
      </c>
      <c r="E71" s="129" t="s">
        <v>156</v>
      </c>
      <c r="F71" s="333">
        <v>225902</v>
      </c>
      <c r="G71" s="329">
        <v>6777</v>
      </c>
      <c r="H71" s="326">
        <v>4519</v>
      </c>
      <c r="J71" s="51">
        <f t="shared" si="4"/>
        <v>214606</v>
      </c>
      <c r="L71"/>
    </row>
    <row r="72" spans="3:13">
      <c r="C72" s="184">
        <v>45870</v>
      </c>
      <c r="D72" s="164">
        <v>1150</v>
      </c>
      <c r="E72" s="129" t="s">
        <v>404</v>
      </c>
      <c r="F72" s="333">
        <v>213707</v>
      </c>
      <c r="G72" s="329">
        <v>6411</v>
      </c>
      <c r="H72" s="326">
        <v>4274</v>
      </c>
      <c r="J72" s="51">
        <f t="shared" ref="J72:J85" si="5">+F72-G72-H72</f>
        <v>203022</v>
      </c>
      <c r="L72"/>
    </row>
    <row r="73" spans="3:13">
      <c r="C73" s="184">
        <v>45873</v>
      </c>
      <c r="D73" s="164">
        <v>1210</v>
      </c>
      <c r="E73" s="129" t="s">
        <v>506</v>
      </c>
      <c r="F73" s="333">
        <v>11220</v>
      </c>
      <c r="G73" s="329">
        <v>224</v>
      </c>
      <c r="J73" s="51">
        <f t="shared" si="5"/>
        <v>10996</v>
      </c>
      <c r="L73"/>
    </row>
    <row r="74" spans="3:13">
      <c r="C74" s="184">
        <v>45873</v>
      </c>
      <c r="D74" s="164">
        <v>1180</v>
      </c>
      <c r="E74" s="129" t="s">
        <v>109</v>
      </c>
      <c r="F74" s="333">
        <v>21338</v>
      </c>
      <c r="J74" s="51">
        <f t="shared" si="5"/>
        <v>21338</v>
      </c>
      <c r="L74">
        <v>640</v>
      </c>
    </row>
    <row r="75" spans="3:13">
      <c r="C75" s="184">
        <v>45873</v>
      </c>
      <c r="D75" s="164">
        <v>1190</v>
      </c>
      <c r="E75" s="129" t="s">
        <v>232</v>
      </c>
      <c r="F75" s="333">
        <v>22504</v>
      </c>
      <c r="J75" s="51">
        <f t="shared" si="5"/>
        <v>22504</v>
      </c>
      <c r="L75">
        <v>450</v>
      </c>
    </row>
    <row r="76" spans="3:13">
      <c r="C76" s="184">
        <v>45873</v>
      </c>
      <c r="D76" s="164">
        <v>1230</v>
      </c>
      <c r="E76" s="129" t="s">
        <v>149</v>
      </c>
      <c r="F76" s="333">
        <v>20911</v>
      </c>
      <c r="G76" s="329">
        <v>418</v>
      </c>
      <c r="J76" s="51">
        <f t="shared" si="5"/>
        <v>20493</v>
      </c>
      <c r="L76"/>
    </row>
    <row r="77" spans="3:13">
      <c r="C77" s="184">
        <v>45873</v>
      </c>
      <c r="D77" s="164">
        <v>1240</v>
      </c>
      <c r="E77" s="129" t="s">
        <v>507</v>
      </c>
      <c r="F77" s="333">
        <v>29657</v>
      </c>
      <c r="J77" s="51">
        <f t="shared" si="5"/>
        <v>29657</v>
      </c>
      <c r="L77">
        <v>889</v>
      </c>
    </row>
    <row r="78" spans="3:13">
      <c r="C78" s="184">
        <v>45873</v>
      </c>
      <c r="D78" s="164">
        <v>1250</v>
      </c>
      <c r="E78" s="129" t="s">
        <v>108</v>
      </c>
      <c r="J78" s="51">
        <f t="shared" si="5"/>
        <v>0</v>
      </c>
      <c r="L78"/>
    </row>
    <row r="79" spans="3:13">
      <c r="C79" s="184">
        <v>45878</v>
      </c>
      <c r="D79" s="164">
        <v>1520</v>
      </c>
      <c r="E79" s="129" t="s">
        <v>156</v>
      </c>
      <c r="F79" s="333">
        <v>753337</v>
      </c>
      <c r="G79" s="339">
        <v>22600</v>
      </c>
      <c r="H79" s="341">
        <v>15066</v>
      </c>
      <c r="J79" s="51">
        <f t="shared" si="5"/>
        <v>715671</v>
      </c>
    </row>
    <row r="80" spans="3:13">
      <c r="C80" s="184">
        <v>45877</v>
      </c>
      <c r="D80" s="164">
        <v>1420</v>
      </c>
      <c r="E80" s="129" t="s">
        <v>547</v>
      </c>
      <c r="F80" s="333">
        <v>36923</v>
      </c>
      <c r="G80" s="329">
        <v>738</v>
      </c>
      <c r="J80" s="51">
        <f t="shared" si="5"/>
        <v>36185</v>
      </c>
    </row>
    <row r="81" spans="3:10">
      <c r="C81" s="184">
        <v>45877</v>
      </c>
      <c r="D81" s="164">
        <v>1450</v>
      </c>
      <c r="E81" s="129" t="s">
        <v>505</v>
      </c>
      <c r="F81" s="333">
        <v>50311</v>
      </c>
      <c r="G81" s="329">
        <v>1509</v>
      </c>
      <c r="J81" s="51">
        <f t="shared" si="5"/>
        <v>48802</v>
      </c>
    </row>
    <row r="82" spans="3:10">
      <c r="C82" s="184">
        <v>45884</v>
      </c>
      <c r="D82" s="164">
        <v>1590</v>
      </c>
      <c r="E82" s="129" t="s">
        <v>548</v>
      </c>
      <c r="F82" s="333">
        <v>35547</v>
      </c>
      <c r="G82" s="329">
        <v>711</v>
      </c>
      <c r="J82" s="51">
        <f t="shared" si="5"/>
        <v>34836</v>
      </c>
    </row>
    <row r="83" spans="3:10">
      <c r="C83" s="184">
        <v>45884</v>
      </c>
      <c r="D83" s="164">
        <v>1600</v>
      </c>
      <c r="E83" s="129" t="s">
        <v>442</v>
      </c>
      <c r="F83" s="333">
        <v>71493</v>
      </c>
      <c r="G83" s="329">
        <v>1429</v>
      </c>
      <c r="J83" s="51">
        <f t="shared" si="5"/>
        <v>70064</v>
      </c>
    </row>
    <row r="84" spans="3:10">
      <c r="C84" s="184">
        <v>45884</v>
      </c>
      <c r="D84" s="164">
        <v>1630</v>
      </c>
      <c r="E84" s="129" t="s">
        <v>549</v>
      </c>
      <c r="F84" s="333">
        <v>47807</v>
      </c>
      <c r="G84" s="329">
        <v>956</v>
      </c>
      <c r="J84" s="51">
        <f t="shared" si="5"/>
        <v>46851</v>
      </c>
    </row>
    <row r="85" spans="3:10">
      <c r="C85" s="184">
        <v>45884</v>
      </c>
      <c r="D85" s="164">
        <v>1640</v>
      </c>
      <c r="E85" s="129" t="s">
        <v>550</v>
      </c>
      <c r="F85" s="333">
        <v>69642</v>
      </c>
      <c r="G85" s="329">
        <v>1392</v>
      </c>
      <c r="J85" s="51">
        <f t="shared" si="5"/>
        <v>68250</v>
      </c>
    </row>
    <row r="86" spans="3:10">
      <c r="C86" s="184">
        <v>45885</v>
      </c>
      <c r="E86" s="322" t="s">
        <v>147</v>
      </c>
      <c r="F86" s="333">
        <v>73892</v>
      </c>
      <c r="G86" s="329">
        <v>2223</v>
      </c>
      <c r="J86" s="51">
        <f t="shared" ref="J86:J98" si="6">+F86-G86-H86</f>
        <v>71669</v>
      </c>
    </row>
    <row r="87" spans="3:10">
      <c r="C87" s="184">
        <v>45886</v>
      </c>
      <c r="D87" s="164">
        <v>1810</v>
      </c>
      <c r="E87" s="129" t="s">
        <v>293</v>
      </c>
      <c r="F87" s="333">
        <v>21939.83</v>
      </c>
      <c r="G87" s="329">
        <v>438</v>
      </c>
      <c r="J87" s="51">
        <f t="shared" si="6"/>
        <v>21501.83</v>
      </c>
    </row>
    <row r="88" spans="3:10">
      <c r="C88" s="184">
        <v>45886</v>
      </c>
      <c r="D88" s="164">
        <v>1790</v>
      </c>
      <c r="E88" s="129" t="s">
        <v>405</v>
      </c>
      <c r="F88" s="333">
        <v>7263</v>
      </c>
      <c r="G88" s="329">
        <v>145</v>
      </c>
      <c r="J88" s="51">
        <f t="shared" si="6"/>
        <v>7118</v>
      </c>
    </row>
    <row r="89" spans="3:10">
      <c r="C89" s="184">
        <v>45890</v>
      </c>
      <c r="D89" s="164">
        <v>1930</v>
      </c>
      <c r="E89" s="129" t="s">
        <v>574</v>
      </c>
      <c r="F89" s="333">
        <v>41822</v>
      </c>
      <c r="G89" s="329">
        <v>836</v>
      </c>
      <c r="J89" s="51">
        <f t="shared" si="6"/>
        <v>40986</v>
      </c>
    </row>
    <row r="90" spans="3:10">
      <c r="C90" s="184">
        <v>45890</v>
      </c>
      <c r="D90" s="164">
        <v>1940</v>
      </c>
      <c r="E90" s="129" t="s">
        <v>264</v>
      </c>
      <c r="F90" s="333">
        <v>17692</v>
      </c>
      <c r="G90" s="329">
        <v>353</v>
      </c>
      <c r="J90" s="51">
        <f t="shared" si="6"/>
        <v>17339</v>
      </c>
    </row>
    <row r="91" spans="3:10">
      <c r="C91" s="184">
        <v>45890</v>
      </c>
      <c r="D91" s="164">
        <v>1960</v>
      </c>
      <c r="E91" s="129" t="s">
        <v>549</v>
      </c>
      <c r="F91" s="333">
        <v>29022</v>
      </c>
      <c r="G91" s="329">
        <v>580</v>
      </c>
      <c r="J91" s="51">
        <f t="shared" si="6"/>
        <v>28442</v>
      </c>
    </row>
    <row r="92" spans="3:10">
      <c r="C92" s="184">
        <v>45890</v>
      </c>
      <c r="D92" s="164">
        <v>1980</v>
      </c>
      <c r="E92" s="129" t="s">
        <v>263</v>
      </c>
      <c r="F92" s="333">
        <v>30385</v>
      </c>
      <c r="G92" s="329">
        <v>607</v>
      </c>
      <c r="J92" s="51">
        <f t="shared" si="6"/>
        <v>29778</v>
      </c>
    </row>
    <row r="93" spans="3:10">
      <c r="C93" s="184">
        <v>45891</v>
      </c>
      <c r="D93" s="164">
        <v>2020</v>
      </c>
      <c r="E93" s="129" t="s">
        <v>223</v>
      </c>
      <c r="F93" s="333">
        <v>67332</v>
      </c>
      <c r="G93" s="329">
        <v>2013</v>
      </c>
      <c r="J93" s="51">
        <f t="shared" si="6"/>
        <v>65319</v>
      </c>
    </row>
    <row r="94" spans="3:10">
      <c r="C94" s="184">
        <v>45891</v>
      </c>
      <c r="D94" s="164">
        <v>2040</v>
      </c>
      <c r="E94" s="129" t="s">
        <v>547</v>
      </c>
      <c r="F94" s="333">
        <v>20332</v>
      </c>
      <c r="G94" s="329">
        <v>406</v>
      </c>
      <c r="J94" s="51">
        <f t="shared" si="6"/>
        <v>19926</v>
      </c>
    </row>
    <row r="95" spans="3:10">
      <c r="C95" s="184">
        <v>45891</v>
      </c>
      <c r="D95" s="164">
        <v>2060</v>
      </c>
      <c r="E95" s="129" t="s">
        <v>505</v>
      </c>
      <c r="F95" s="333">
        <v>54546</v>
      </c>
      <c r="G95" s="329">
        <v>1636</v>
      </c>
      <c r="J95" s="51">
        <f t="shared" si="6"/>
        <v>52910</v>
      </c>
    </row>
    <row r="96" spans="3:10">
      <c r="C96" s="184">
        <v>45892</v>
      </c>
      <c r="D96" s="164">
        <v>2100</v>
      </c>
      <c r="E96" s="129" t="s">
        <v>405</v>
      </c>
      <c r="F96" s="333">
        <v>28648</v>
      </c>
      <c r="G96" s="329">
        <v>572</v>
      </c>
      <c r="J96" s="51">
        <f t="shared" si="6"/>
        <v>28076</v>
      </c>
    </row>
    <row r="97" spans="3:16">
      <c r="C97" s="184">
        <v>45892</v>
      </c>
      <c r="D97" s="164">
        <v>2130</v>
      </c>
      <c r="E97" s="129" t="s">
        <v>156</v>
      </c>
      <c r="F97" s="333">
        <v>47919</v>
      </c>
      <c r="G97" s="329">
        <v>1435</v>
      </c>
      <c r="H97" s="326">
        <v>958</v>
      </c>
      <c r="J97" s="51">
        <f t="shared" si="6"/>
        <v>45526</v>
      </c>
    </row>
    <row r="98" spans="3:16">
      <c r="C98" s="184">
        <v>45894</v>
      </c>
      <c r="D98" s="164">
        <v>2210</v>
      </c>
      <c r="E98" s="129" t="s">
        <v>156</v>
      </c>
      <c r="F98" s="333">
        <v>210198</v>
      </c>
      <c r="G98" s="329">
        <v>6305</v>
      </c>
      <c r="H98" s="326">
        <v>4203</v>
      </c>
      <c r="J98" s="51">
        <f t="shared" si="6"/>
        <v>199690</v>
      </c>
    </row>
    <row r="99" spans="3:16">
      <c r="C99" s="184">
        <v>45894</v>
      </c>
      <c r="D99" s="164">
        <v>2200</v>
      </c>
      <c r="E99" s="129" t="s">
        <v>293</v>
      </c>
      <c r="F99" s="333">
        <v>34742</v>
      </c>
      <c r="G99" s="329">
        <v>1042</v>
      </c>
      <c r="J99" s="51">
        <f t="shared" ref="J99:J104" si="7">+F99-G99-H99</f>
        <v>33700</v>
      </c>
    </row>
    <row r="100" spans="3:16">
      <c r="C100" s="184">
        <v>45894</v>
      </c>
      <c r="D100" s="164">
        <v>2160</v>
      </c>
      <c r="E100" s="129" t="s">
        <v>149</v>
      </c>
      <c r="F100" s="333">
        <v>52228</v>
      </c>
      <c r="G100" s="329">
        <v>1044</v>
      </c>
      <c r="J100" s="51">
        <f t="shared" si="7"/>
        <v>51184</v>
      </c>
    </row>
    <row r="101" spans="3:16">
      <c r="C101" s="184">
        <v>45897</v>
      </c>
      <c r="D101" s="164">
        <v>2220</v>
      </c>
      <c r="E101" s="129" t="s">
        <v>582</v>
      </c>
      <c r="F101" s="333">
        <v>44885</v>
      </c>
      <c r="G101" s="329">
        <v>917</v>
      </c>
      <c r="J101" s="51">
        <f t="shared" si="7"/>
        <v>43968</v>
      </c>
    </row>
    <row r="102" spans="3:16">
      <c r="C102" s="184">
        <v>45897</v>
      </c>
      <c r="D102" s="164">
        <v>2230</v>
      </c>
      <c r="E102" s="129" t="s">
        <v>264</v>
      </c>
      <c r="F102" s="333">
        <v>11659</v>
      </c>
      <c r="G102" s="329">
        <v>183</v>
      </c>
      <c r="J102" s="51">
        <f t="shared" si="7"/>
        <v>11476</v>
      </c>
    </row>
    <row r="103" spans="3:16">
      <c r="C103" s="184">
        <v>45897</v>
      </c>
      <c r="D103" s="164">
        <v>2240</v>
      </c>
      <c r="E103" s="129" t="s">
        <v>583</v>
      </c>
      <c r="F103" s="333">
        <v>59178</v>
      </c>
      <c r="G103" s="329">
        <v>1184</v>
      </c>
      <c r="J103" s="51">
        <f t="shared" si="7"/>
        <v>57994</v>
      </c>
    </row>
    <row r="104" spans="3:16">
      <c r="C104" s="184">
        <v>45897</v>
      </c>
      <c r="D104" s="164">
        <v>2250</v>
      </c>
      <c r="E104" s="129" t="s">
        <v>549</v>
      </c>
      <c r="F104" s="333">
        <v>41821</v>
      </c>
      <c r="G104" s="329">
        <v>836</v>
      </c>
      <c r="J104" s="51">
        <f t="shared" si="7"/>
        <v>40985</v>
      </c>
    </row>
    <row r="105" spans="3:16">
      <c r="C105" s="184">
        <v>45897</v>
      </c>
      <c r="D105" s="164">
        <v>2260</v>
      </c>
      <c r="E105" s="129" t="s">
        <v>442</v>
      </c>
      <c r="F105" s="333">
        <v>52428</v>
      </c>
      <c r="G105" s="329">
        <v>1058</v>
      </c>
      <c r="J105" s="51">
        <f t="shared" ref="J105:J107" si="8">+F105-G105-H105</f>
        <v>51370</v>
      </c>
    </row>
    <row r="106" spans="3:16">
      <c r="C106" s="184">
        <v>45897</v>
      </c>
      <c r="D106" s="164">
        <v>2270</v>
      </c>
      <c r="E106" s="129" t="s">
        <v>584</v>
      </c>
      <c r="F106" s="333">
        <v>128671</v>
      </c>
      <c r="G106" s="329">
        <v>3860</v>
      </c>
      <c r="J106" s="51">
        <f t="shared" si="8"/>
        <v>124811</v>
      </c>
      <c r="P106" t="s">
        <v>585</v>
      </c>
    </row>
    <row r="107" spans="3:16">
      <c r="C107" s="184">
        <v>45897</v>
      </c>
      <c r="D107" s="164">
        <v>2290</v>
      </c>
      <c r="E107" s="129" t="s">
        <v>586</v>
      </c>
      <c r="F107" s="333">
        <v>26165</v>
      </c>
      <c r="G107" s="329">
        <v>785</v>
      </c>
      <c r="J107" s="51">
        <f t="shared" si="8"/>
        <v>25380</v>
      </c>
    </row>
    <row r="108" spans="3:16">
      <c r="C108" s="184">
        <v>45891</v>
      </c>
      <c r="D108" s="164">
        <v>26510</v>
      </c>
      <c r="E108" s="338" t="s">
        <v>587</v>
      </c>
      <c r="F108" s="333">
        <v>10892</v>
      </c>
      <c r="G108" s="329">
        <v>10892</v>
      </c>
      <c r="J108" s="51">
        <f t="shared" ref="J108:J111" si="9">+F108-G108-H108</f>
        <v>0</v>
      </c>
    </row>
    <row r="109" spans="3:16">
      <c r="C109" s="184">
        <v>45897</v>
      </c>
      <c r="D109" s="164">
        <v>2300</v>
      </c>
      <c r="E109" s="129" t="s">
        <v>263</v>
      </c>
      <c r="F109" s="333">
        <v>24103</v>
      </c>
      <c r="G109" s="329">
        <v>482</v>
      </c>
      <c r="J109" s="51">
        <f t="shared" si="9"/>
        <v>23621</v>
      </c>
    </row>
    <row r="110" spans="3:16">
      <c r="C110" s="184">
        <v>45898</v>
      </c>
      <c r="D110" s="164">
        <v>2310</v>
      </c>
      <c r="E110" s="129" t="s">
        <v>194</v>
      </c>
      <c r="F110" s="333">
        <v>181073</v>
      </c>
      <c r="G110" s="329">
        <v>5432</v>
      </c>
      <c r="J110" s="51">
        <f t="shared" si="9"/>
        <v>175641</v>
      </c>
    </row>
    <row r="111" spans="3:16">
      <c r="C111" s="184">
        <v>45898</v>
      </c>
      <c r="D111" s="164">
        <v>2330</v>
      </c>
      <c r="E111" s="322" t="s">
        <v>147</v>
      </c>
      <c r="F111" s="333">
        <v>111581</v>
      </c>
      <c r="G111" s="329">
        <v>3347</v>
      </c>
      <c r="J111" s="51">
        <f t="shared" si="9"/>
        <v>108234</v>
      </c>
    </row>
    <row r="112" spans="3:16">
      <c r="C112" s="184">
        <v>45899</v>
      </c>
      <c r="D112" s="164">
        <v>2380</v>
      </c>
      <c r="E112" s="129" t="s">
        <v>155</v>
      </c>
      <c r="F112" s="333">
        <v>639883</v>
      </c>
      <c r="G112" s="329">
        <v>19196</v>
      </c>
      <c r="H112" s="326">
        <v>12797</v>
      </c>
      <c r="J112" s="51">
        <f t="shared" ref="J112:J119" si="10">+F112-G112-H112</f>
        <v>607890</v>
      </c>
    </row>
    <row r="113" spans="3:10">
      <c r="C113" s="184">
        <v>45899</v>
      </c>
      <c r="D113" s="164">
        <v>19000</v>
      </c>
      <c r="E113" s="129" t="s">
        <v>589</v>
      </c>
      <c r="F113" s="333">
        <v>89996</v>
      </c>
      <c r="G113" s="329">
        <v>10431</v>
      </c>
      <c r="J113" s="51">
        <f t="shared" si="10"/>
        <v>79565</v>
      </c>
    </row>
    <row r="114" spans="3:10">
      <c r="J114" s="51">
        <f t="shared" si="10"/>
        <v>0</v>
      </c>
    </row>
    <row r="115" spans="3:10">
      <c r="J115" s="51">
        <f t="shared" si="10"/>
        <v>0</v>
      </c>
    </row>
    <row r="116" spans="3:10">
      <c r="G116" s="51">
        <f>SUM(G38:G115)</f>
        <v>233679</v>
      </c>
      <c r="H116" s="324">
        <f>SUM(H38:H115)</f>
        <v>100056</v>
      </c>
      <c r="J116" s="51">
        <f t="shared" si="10"/>
        <v>-333735</v>
      </c>
    </row>
    <row r="117" spans="3:10">
      <c r="J117" s="51">
        <f t="shared" si="10"/>
        <v>0</v>
      </c>
    </row>
    <row r="118" spans="3:10">
      <c r="J118" s="51">
        <f t="shared" si="10"/>
        <v>0</v>
      </c>
    </row>
    <row r="119" spans="3:10">
      <c r="J119" s="51">
        <f t="shared" si="10"/>
        <v>0</v>
      </c>
    </row>
    <row r="120" spans="3:10">
      <c r="J120" s="51">
        <f t="shared" ref="J120:J121" si="11">+F120-G120-H120</f>
        <v>0</v>
      </c>
    </row>
    <row r="121" spans="3:10">
      <c r="J121" s="51">
        <f t="shared" si="11"/>
        <v>0</v>
      </c>
    </row>
    <row r="131" spans="3:12" ht="18.75">
      <c r="F131" s="335" t="s">
        <v>803</v>
      </c>
    </row>
    <row r="132" spans="3:12">
      <c r="C132" s="323" t="s">
        <v>0</v>
      </c>
      <c r="D132" s="56" t="s">
        <v>129</v>
      </c>
      <c r="E132" s="136" t="s">
        <v>19</v>
      </c>
      <c r="F132" s="332" t="s">
        <v>2</v>
      </c>
      <c r="G132" s="328" t="s">
        <v>132</v>
      </c>
      <c r="H132" s="325" t="s">
        <v>133</v>
      </c>
      <c r="I132" s="57"/>
      <c r="J132" s="328" t="s">
        <v>136</v>
      </c>
      <c r="L132" s="44" t="s">
        <v>805</v>
      </c>
    </row>
    <row r="133" spans="3:12">
      <c r="C133" s="323"/>
      <c r="D133" s="56"/>
      <c r="E133" s="136"/>
      <c r="F133" s="332"/>
      <c r="G133" s="323" t="s">
        <v>130</v>
      </c>
      <c r="H133" s="328" t="s">
        <v>131</v>
      </c>
      <c r="I133" s="57"/>
      <c r="J133" s="328"/>
    </row>
    <row r="134" spans="3:12">
      <c r="C134" s="109">
        <v>45901</v>
      </c>
      <c r="D134" s="322">
        <v>2460</v>
      </c>
      <c r="E134" s="277" t="s">
        <v>420</v>
      </c>
      <c r="F134" s="336">
        <v>55816</v>
      </c>
      <c r="G134" s="340"/>
      <c r="H134" s="342"/>
      <c r="I134" s="30"/>
      <c r="J134" s="330">
        <f>+F134-G134-H134</f>
        <v>55816</v>
      </c>
      <c r="K134" s="44" t="s">
        <v>1213</v>
      </c>
      <c r="L134" s="44">
        <v>1674</v>
      </c>
    </row>
    <row r="135" spans="3:12">
      <c r="C135" s="109">
        <v>45901</v>
      </c>
      <c r="D135" s="322">
        <v>2450</v>
      </c>
      <c r="E135" s="277" t="s">
        <v>421</v>
      </c>
      <c r="F135" s="336">
        <v>27178</v>
      </c>
      <c r="G135" s="340"/>
      <c r="H135" s="342"/>
      <c r="I135" s="30"/>
      <c r="J135" s="330">
        <f t="shared" ref="J135:J136" si="12">+F135-G135-H135</f>
        <v>27178</v>
      </c>
      <c r="L135" s="44">
        <v>815</v>
      </c>
    </row>
    <row r="136" spans="3:12">
      <c r="C136" s="109">
        <v>45901</v>
      </c>
      <c r="D136" s="322">
        <v>2480</v>
      </c>
      <c r="E136" s="277" t="s">
        <v>149</v>
      </c>
      <c r="F136" s="336">
        <v>27962</v>
      </c>
      <c r="G136" s="340">
        <v>560</v>
      </c>
      <c r="H136" s="327"/>
      <c r="I136" s="30"/>
      <c r="J136" s="330">
        <f t="shared" si="12"/>
        <v>27402</v>
      </c>
    </row>
    <row r="137" spans="3:12">
      <c r="C137" s="109">
        <v>45901</v>
      </c>
      <c r="D137" s="322">
        <v>2490</v>
      </c>
      <c r="E137" s="277" t="s">
        <v>422</v>
      </c>
      <c r="F137" s="336">
        <v>161891</v>
      </c>
      <c r="G137" s="340">
        <v>4753</v>
      </c>
      <c r="H137" s="327"/>
      <c r="I137" s="30"/>
      <c r="J137" s="330">
        <f>+F137-G137-H137</f>
        <v>157138</v>
      </c>
    </row>
    <row r="138" spans="3:12">
      <c r="C138" s="109">
        <v>45901</v>
      </c>
      <c r="D138" s="322">
        <v>2430</v>
      </c>
      <c r="E138" s="277" t="s">
        <v>109</v>
      </c>
      <c r="F138" s="336">
        <v>21497</v>
      </c>
      <c r="G138" s="330"/>
      <c r="H138" s="327"/>
      <c r="I138" s="30"/>
      <c r="J138" s="330">
        <f>+F138-G138-H138</f>
        <v>21497</v>
      </c>
      <c r="L138" s="44">
        <v>645</v>
      </c>
    </row>
    <row r="139" spans="3:12">
      <c r="C139" s="109">
        <v>45904</v>
      </c>
      <c r="D139" s="322">
        <v>2600</v>
      </c>
      <c r="E139" s="277" t="s">
        <v>441</v>
      </c>
      <c r="F139" s="336">
        <v>352996</v>
      </c>
      <c r="G139" s="340">
        <v>10590</v>
      </c>
      <c r="H139" s="342">
        <v>7060</v>
      </c>
      <c r="I139" s="30"/>
      <c r="J139" s="330">
        <f t="shared" ref="J139:J143" si="13">+F139-G139-H139</f>
        <v>335346</v>
      </c>
    </row>
    <row r="140" spans="3:12">
      <c r="C140" s="109">
        <v>45904</v>
      </c>
      <c r="D140" s="322">
        <v>2620</v>
      </c>
      <c r="E140" s="277" t="s">
        <v>305</v>
      </c>
      <c r="F140" s="336">
        <v>38036</v>
      </c>
      <c r="G140" s="340">
        <v>1141</v>
      </c>
      <c r="H140" s="327"/>
      <c r="I140" s="30"/>
      <c r="J140" s="330">
        <f t="shared" si="13"/>
        <v>36895</v>
      </c>
    </row>
    <row r="141" spans="3:12">
      <c r="C141" s="109">
        <v>45904</v>
      </c>
      <c r="D141" s="322">
        <v>2540</v>
      </c>
      <c r="E141" s="277" t="s">
        <v>41</v>
      </c>
      <c r="F141" s="336">
        <v>1075899</v>
      </c>
      <c r="G141" s="340">
        <v>32277</v>
      </c>
      <c r="H141" s="342">
        <v>21518</v>
      </c>
      <c r="I141" s="30"/>
      <c r="J141" s="330">
        <f t="shared" si="13"/>
        <v>1022104</v>
      </c>
    </row>
    <row r="142" spans="3:12">
      <c r="C142" s="109">
        <v>45904</v>
      </c>
      <c r="D142" s="322">
        <v>2650</v>
      </c>
      <c r="E142" s="277" t="s">
        <v>41</v>
      </c>
      <c r="F142" s="336">
        <v>367901</v>
      </c>
      <c r="G142" s="340">
        <v>11037</v>
      </c>
      <c r="H142" s="342">
        <v>7358</v>
      </c>
      <c r="I142" s="30"/>
      <c r="J142" s="330">
        <f t="shared" si="13"/>
        <v>349506</v>
      </c>
    </row>
    <row r="143" spans="3:12">
      <c r="C143" s="109">
        <v>45904</v>
      </c>
      <c r="D143" s="322">
        <v>2570</v>
      </c>
      <c r="E143" s="277" t="s">
        <v>442</v>
      </c>
      <c r="F143" s="336">
        <v>21150</v>
      </c>
      <c r="G143" s="340">
        <v>423</v>
      </c>
      <c r="H143" s="327"/>
      <c r="I143" s="30"/>
      <c r="J143" s="330">
        <f t="shared" si="13"/>
        <v>20727</v>
      </c>
    </row>
    <row r="144" spans="3:12">
      <c r="C144" s="109">
        <v>45904</v>
      </c>
      <c r="D144" s="322">
        <v>2610</v>
      </c>
      <c r="E144" s="277" t="s">
        <v>443</v>
      </c>
      <c r="F144" s="336">
        <v>28499</v>
      </c>
      <c r="G144" s="340">
        <v>570</v>
      </c>
      <c r="H144" s="342"/>
      <c r="I144" s="30"/>
      <c r="J144" s="330">
        <f>+F144-G144-H144</f>
        <v>27929</v>
      </c>
    </row>
    <row r="145" spans="3:14">
      <c r="C145" s="109">
        <v>45904</v>
      </c>
      <c r="D145" s="322">
        <v>2550</v>
      </c>
      <c r="E145" s="277" t="s">
        <v>954</v>
      </c>
      <c r="F145" s="336">
        <v>20707</v>
      </c>
      <c r="G145" s="340">
        <v>414</v>
      </c>
      <c r="H145" s="342"/>
      <c r="I145" s="30"/>
      <c r="J145" s="330">
        <f t="shared" ref="J145:J147" si="14">+F145-G145-H145</f>
        <v>20293</v>
      </c>
      <c r="N145" s="343"/>
    </row>
    <row r="146" spans="3:14">
      <c r="C146" s="109">
        <v>45905</v>
      </c>
      <c r="D146" s="368" t="s">
        <v>450</v>
      </c>
      <c r="E146" s="277" t="s">
        <v>449</v>
      </c>
      <c r="F146" s="337">
        <v>154681</v>
      </c>
      <c r="G146" s="340">
        <v>6140</v>
      </c>
      <c r="H146" s="342">
        <v>3094</v>
      </c>
      <c r="I146" s="30"/>
      <c r="J146" s="330">
        <f t="shared" si="14"/>
        <v>145447</v>
      </c>
    </row>
    <row r="147" spans="3:14">
      <c r="C147" s="109">
        <v>45905</v>
      </c>
      <c r="D147" s="322">
        <v>2690</v>
      </c>
      <c r="E147" s="277" t="s">
        <v>90</v>
      </c>
      <c r="F147" s="336">
        <v>29941</v>
      </c>
      <c r="G147" s="330">
        <v>898</v>
      </c>
      <c r="H147" s="327"/>
      <c r="I147" s="30"/>
      <c r="J147" s="330">
        <f t="shared" si="14"/>
        <v>29043</v>
      </c>
    </row>
    <row r="148" spans="3:14">
      <c r="C148" s="109">
        <v>45905</v>
      </c>
      <c r="D148" s="322">
        <v>2700</v>
      </c>
      <c r="E148" s="277" t="s">
        <v>222</v>
      </c>
      <c r="F148" s="336">
        <v>22825</v>
      </c>
      <c r="G148" s="330"/>
      <c r="H148" s="327"/>
      <c r="I148" s="30"/>
      <c r="J148" s="330">
        <f t="shared" ref="J148:J152" si="15">+F148-G148-H148</f>
        <v>22825</v>
      </c>
      <c r="L148" s="44">
        <v>685</v>
      </c>
    </row>
    <row r="149" spans="3:14">
      <c r="C149" s="109">
        <v>45905</v>
      </c>
      <c r="D149" s="322">
        <v>2750</v>
      </c>
      <c r="E149" s="277" t="s">
        <v>223</v>
      </c>
      <c r="F149" s="336">
        <v>58826</v>
      </c>
      <c r="G149" s="340">
        <v>1787</v>
      </c>
      <c r="H149" s="342"/>
      <c r="I149" s="30"/>
      <c r="J149" s="330">
        <f t="shared" si="15"/>
        <v>57039</v>
      </c>
    </row>
    <row r="150" spans="3:14">
      <c r="C150" s="109">
        <v>45905</v>
      </c>
      <c r="D150" s="322">
        <v>2660</v>
      </c>
      <c r="E150" s="277" t="s">
        <v>451</v>
      </c>
      <c r="F150" s="336">
        <v>59681</v>
      </c>
      <c r="G150" s="330"/>
      <c r="H150" s="327"/>
      <c r="I150" s="30"/>
      <c r="J150" s="330">
        <f t="shared" si="15"/>
        <v>59681</v>
      </c>
      <c r="K150" s="44" t="s">
        <v>1214</v>
      </c>
      <c r="L150" s="44">
        <v>1790</v>
      </c>
    </row>
    <row r="151" spans="3:14">
      <c r="C151" s="109">
        <v>45905</v>
      </c>
      <c r="D151" s="322">
        <v>2710</v>
      </c>
      <c r="E151" s="277" t="s">
        <v>452</v>
      </c>
      <c r="F151" s="336">
        <v>81809</v>
      </c>
      <c r="G151" s="330">
        <v>2741</v>
      </c>
      <c r="H151" s="327"/>
      <c r="I151" s="30"/>
      <c r="J151" s="330">
        <f t="shared" si="15"/>
        <v>79068</v>
      </c>
      <c r="K151" s="44" t="s">
        <v>1215</v>
      </c>
      <c r="L151" s="44">
        <v>2455</v>
      </c>
    </row>
    <row r="152" spans="3:14">
      <c r="C152" s="109">
        <v>45907</v>
      </c>
      <c r="D152" s="368" t="s">
        <v>456</v>
      </c>
      <c r="E152" s="277" t="s">
        <v>157</v>
      </c>
      <c r="F152" s="337">
        <v>96375</v>
      </c>
      <c r="G152" s="330"/>
      <c r="H152" s="327"/>
      <c r="I152" s="30"/>
      <c r="J152" s="330">
        <f t="shared" si="15"/>
        <v>96375</v>
      </c>
      <c r="L152" s="44">
        <v>2891</v>
      </c>
    </row>
    <row r="153" spans="3:14">
      <c r="C153" s="109">
        <v>45908</v>
      </c>
      <c r="D153" s="322">
        <v>2870</v>
      </c>
      <c r="E153" s="277" t="s">
        <v>233</v>
      </c>
      <c r="F153" s="336">
        <v>38929</v>
      </c>
      <c r="G153" s="340">
        <v>1168</v>
      </c>
      <c r="H153" s="327"/>
      <c r="I153" s="30"/>
      <c r="J153" s="330">
        <f>+F153-G153-H153</f>
        <v>37761</v>
      </c>
    </row>
    <row r="154" spans="3:14">
      <c r="C154" s="109">
        <v>45908</v>
      </c>
      <c r="D154" s="322">
        <v>2880</v>
      </c>
      <c r="E154" s="277" t="s">
        <v>108</v>
      </c>
      <c r="F154" s="336">
        <v>104724</v>
      </c>
      <c r="G154" s="340"/>
      <c r="H154" s="342"/>
      <c r="I154" s="30"/>
      <c r="J154" s="330">
        <f>+F154-G154-H154</f>
        <v>104724</v>
      </c>
      <c r="L154" s="44">
        <v>3142</v>
      </c>
    </row>
    <row r="155" spans="3:14">
      <c r="C155" s="109">
        <v>45908</v>
      </c>
      <c r="D155" s="322">
        <v>2860</v>
      </c>
      <c r="E155" s="277" t="s">
        <v>466</v>
      </c>
      <c r="F155" s="336">
        <v>30059</v>
      </c>
      <c r="G155" s="340">
        <v>602</v>
      </c>
      <c r="H155" s="342"/>
      <c r="I155" s="30"/>
      <c r="J155" s="330">
        <f t="shared" ref="J155:J156" si="16">+F155-G155-H155</f>
        <v>29457</v>
      </c>
    </row>
    <row r="156" spans="3:14">
      <c r="C156" s="109">
        <v>45912</v>
      </c>
      <c r="D156" s="322">
        <v>2940</v>
      </c>
      <c r="E156" s="277" t="s">
        <v>475</v>
      </c>
      <c r="F156" s="336">
        <v>29979</v>
      </c>
      <c r="G156" s="340">
        <v>599</v>
      </c>
      <c r="H156" s="327"/>
      <c r="I156" s="30"/>
      <c r="J156" s="330">
        <f t="shared" si="16"/>
        <v>29380</v>
      </c>
    </row>
    <row r="157" spans="3:14">
      <c r="C157" s="109">
        <v>45912</v>
      </c>
      <c r="D157" s="322">
        <v>2930</v>
      </c>
      <c r="E157" s="277" t="s">
        <v>476</v>
      </c>
      <c r="F157" s="336">
        <v>62659</v>
      </c>
      <c r="G157" s="340">
        <v>1880</v>
      </c>
      <c r="H157" s="327"/>
      <c r="I157" s="30"/>
      <c r="J157" s="330">
        <f t="shared" ref="J157:J162" si="17">+F157-G157-H157</f>
        <v>60779</v>
      </c>
    </row>
    <row r="158" spans="3:14">
      <c r="C158" s="109">
        <v>45912</v>
      </c>
      <c r="D158" s="322">
        <v>2960</v>
      </c>
      <c r="E158" s="277" t="s">
        <v>556</v>
      </c>
      <c r="F158" s="336">
        <v>82540</v>
      </c>
      <c r="G158" s="340">
        <v>2476</v>
      </c>
      <c r="H158" s="327"/>
      <c r="I158" s="30"/>
      <c r="J158" s="330">
        <f t="shared" si="17"/>
        <v>80064</v>
      </c>
    </row>
    <row r="159" spans="3:14">
      <c r="C159" s="109">
        <v>45913</v>
      </c>
      <c r="D159" s="322">
        <v>3060</v>
      </c>
      <c r="E159" s="277" t="s">
        <v>223</v>
      </c>
      <c r="F159" s="336">
        <v>59970</v>
      </c>
      <c r="G159" s="340">
        <v>1799</v>
      </c>
      <c r="H159" s="342"/>
      <c r="I159" s="30"/>
      <c r="J159" s="330">
        <f t="shared" si="17"/>
        <v>58171</v>
      </c>
    </row>
    <row r="160" spans="3:14">
      <c r="C160" s="109">
        <v>45913</v>
      </c>
      <c r="D160" s="322">
        <v>3040</v>
      </c>
      <c r="E160" s="277" t="s">
        <v>481</v>
      </c>
      <c r="F160" s="336">
        <v>113128</v>
      </c>
      <c r="G160" s="340">
        <v>3128</v>
      </c>
      <c r="H160" s="327"/>
      <c r="I160" s="30"/>
      <c r="J160" s="330">
        <f t="shared" si="17"/>
        <v>110000</v>
      </c>
    </row>
    <row r="161" spans="3:12">
      <c r="C161" s="109">
        <v>45913</v>
      </c>
      <c r="D161" s="322">
        <v>3030</v>
      </c>
      <c r="E161" s="277" t="s">
        <v>90</v>
      </c>
      <c r="F161" s="336">
        <v>48569</v>
      </c>
      <c r="G161" s="340">
        <v>1458</v>
      </c>
      <c r="H161" s="327"/>
      <c r="I161" s="30"/>
      <c r="J161" s="330">
        <f t="shared" si="17"/>
        <v>47111</v>
      </c>
    </row>
    <row r="162" spans="3:12">
      <c r="C162" s="109">
        <v>45913</v>
      </c>
      <c r="D162" s="322">
        <v>2980</v>
      </c>
      <c r="E162" s="277" t="s">
        <v>482</v>
      </c>
      <c r="F162" s="336">
        <v>21906</v>
      </c>
      <c r="G162" s="340">
        <v>686</v>
      </c>
      <c r="H162" s="327"/>
      <c r="I162" s="30"/>
      <c r="J162" s="330">
        <f t="shared" si="17"/>
        <v>21220</v>
      </c>
    </row>
    <row r="163" spans="3:12">
      <c r="C163" s="109">
        <v>45913</v>
      </c>
      <c r="D163" s="322">
        <v>2990</v>
      </c>
      <c r="E163" s="277" t="s">
        <v>194</v>
      </c>
      <c r="F163" s="336">
        <v>11860</v>
      </c>
      <c r="G163" s="340">
        <v>380</v>
      </c>
      <c r="H163" s="327"/>
      <c r="I163" s="30"/>
      <c r="J163" s="330">
        <f>+F163-G163-H163</f>
        <v>11480</v>
      </c>
    </row>
    <row r="164" spans="3:12">
      <c r="C164" s="109">
        <v>45914</v>
      </c>
      <c r="D164" s="368" t="s">
        <v>483</v>
      </c>
      <c r="E164" s="277" t="s">
        <v>41</v>
      </c>
      <c r="F164" s="337">
        <v>894880</v>
      </c>
      <c r="G164" s="340">
        <v>26846</v>
      </c>
      <c r="H164" s="342">
        <v>17897</v>
      </c>
      <c r="I164" s="30"/>
      <c r="J164" s="330">
        <f>+F164-G164-H164</f>
        <v>850137</v>
      </c>
    </row>
    <row r="165" spans="3:12">
      <c r="C165" s="109">
        <v>45914</v>
      </c>
      <c r="D165" s="322">
        <v>3100</v>
      </c>
      <c r="E165" s="277" t="s">
        <v>544</v>
      </c>
      <c r="F165" s="336">
        <v>14905</v>
      </c>
      <c r="G165" s="340">
        <v>219</v>
      </c>
      <c r="H165" s="342"/>
      <c r="I165" s="30"/>
      <c r="J165" s="330">
        <f t="shared" ref="J165:J167" si="18">+F165-G165-H165</f>
        <v>14686</v>
      </c>
    </row>
    <row r="166" spans="3:12">
      <c r="C166" s="109">
        <v>45914</v>
      </c>
      <c r="D166" s="322">
        <v>3070</v>
      </c>
      <c r="E166" s="277" t="s">
        <v>484</v>
      </c>
      <c r="F166" s="336">
        <v>65016</v>
      </c>
      <c r="G166" s="340">
        <v>1950</v>
      </c>
      <c r="H166" s="327"/>
      <c r="I166" s="30"/>
      <c r="J166" s="330">
        <f t="shared" si="18"/>
        <v>63066</v>
      </c>
    </row>
    <row r="167" spans="3:12">
      <c r="C167" s="109">
        <v>45915</v>
      </c>
      <c r="D167" s="322">
        <v>3170</v>
      </c>
      <c r="E167" s="277" t="s">
        <v>496</v>
      </c>
      <c r="F167" s="337">
        <v>20789</v>
      </c>
      <c r="G167" s="330"/>
      <c r="H167" s="327"/>
      <c r="I167" s="30"/>
      <c r="J167" s="330">
        <f t="shared" si="18"/>
        <v>20789</v>
      </c>
      <c r="L167" s="44">
        <v>624</v>
      </c>
    </row>
    <row r="168" spans="3:12">
      <c r="C168" s="109">
        <v>45915</v>
      </c>
      <c r="D168" s="322">
        <v>3180</v>
      </c>
      <c r="E168" s="277" t="s">
        <v>497</v>
      </c>
      <c r="F168" s="337">
        <v>40026</v>
      </c>
      <c r="G168" s="330"/>
      <c r="H168" s="327"/>
      <c r="I168" s="30"/>
      <c r="J168" s="330">
        <f t="shared" ref="J168:J173" si="19">+F168-G168-H168</f>
        <v>40026</v>
      </c>
      <c r="L168" s="44">
        <v>1200</v>
      </c>
    </row>
    <row r="169" spans="3:12">
      <c r="C169" s="109">
        <v>45916</v>
      </c>
      <c r="D169" s="322">
        <v>2970</v>
      </c>
      <c r="E169" s="277" t="s">
        <v>190</v>
      </c>
      <c r="F169" s="337">
        <v>494661</v>
      </c>
      <c r="G169" s="340">
        <v>27216</v>
      </c>
      <c r="H169" s="342">
        <v>9893</v>
      </c>
      <c r="I169" s="30"/>
      <c r="J169" s="330">
        <f t="shared" si="19"/>
        <v>457552</v>
      </c>
    </row>
    <row r="170" spans="3:12">
      <c r="C170" s="109">
        <v>45918</v>
      </c>
      <c r="D170" s="322">
        <v>3290</v>
      </c>
      <c r="E170" s="277" t="s">
        <v>108</v>
      </c>
      <c r="F170" s="337">
        <v>231068</v>
      </c>
      <c r="G170" s="340">
        <v>6932</v>
      </c>
      <c r="H170" s="342">
        <v>4621</v>
      </c>
      <c r="I170" s="30"/>
      <c r="J170" s="330">
        <f t="shared" si="19"/>
        <v>219515</v>
      </c>
    </row>
    <row r="171" spans="3:12">
      <c r="C171" s="109">
        <v>45918</v>
      </c>
      <c r="D171" s="322">
        <v>3220</v>
      </c>
      <c r="E171" s="277" t="s">
        <v>214</v>
      </c>
      <c r="F171" s="337">
        <v>64822</v>
      </c>
      <c r="G171" s="330">
        <v>1945</v>
      </c>
      <c r="H171" s="327"/>
      <c r="I171" s="30"/>
      <c r="J171" s="330">
        <f t="shared" si="19"/>
        <v>62877</v>
      </c>
    </row>
    <row r="172" spans="3:12">
      <c r="C172" s="109">
        <v>45901</v>
      </c>
      <c r="D172" s="322">
        <v>2440</v>
      </c>
      <c r="E172" s="277" t="s">
        <v>806</v>
      </c>
      <c r="F172" s="337">
        <v>52544</v>
      </c>
      <c r="G172" s="330">
        <v>774</v>
      </c>
      <c r="H172" s="327"/>
      <c r="I172" s="11"/>
      <c r="J172" s="39">
        <f t="shared" si="19"/>
        <v>51770</v>
      </c>
    </row>
    <row r="173" spans="3:12">
      <c r="C173" s="109">
        <v>45904</v>
      </c>
      <c r="D173" s="322">
        <v>2560</v>
      </c>
      <c r="E173" s="277" t="s">
        <v>264</v>
      </c>
      <c r="F173" s="337">
        <v>10066</v>
      </c>
      <c r="G173" s="330">
        <v>201</v>
      </c>
      <c r="H173" s="327"/>
      <c r="I173" s="11"/>
      <c r="J173" s="39">
        <f t="shared" si="19"/>
        <v>9865</v>
      </c>
    </row>
    <row r="174" spans="3:12">
      <c r="C174" s="109">
        <v>45905</v>
      </c>
      <c r="D174" s="322">
        <v>2740</v>
      </c>
      <c r="E174" s="277" t="s">
        <v>820</v>
      </c>
      <c r="F174" s="337">
        <v>226524</v>
      </c>
      <c r="G174" s="330">
        <v>6796</v>
      </c>
      <c r="H174" s="327"/>
      <c r="I174" s="11"/>
      <c r="J174" s="39">
        <f t="shared" ref="J174:J176" si="20">+F174-G174-H174</f>
        <v>219728</v>
      </c>
    </row>
    <row r="175" spans="3:12">
      <c r="C175" s="109">
        <v>45905</v>
      </c>
      <c r="D175" s="322">
        <v>2720</v>
      </c>
      <c r="E175" s="277" t="s">
        <v>194</v>
      </c>
      <c r="F175" s="337">
        <v>32586</v>
      </c>
      <c r="G175" s="330">
        <v>978</v>
      </c>
      <c r="H175" s="327"/>
      <c r="I175" s="11"/>
      <c r="J175" s="39">
        <f t="shared" si="20"/>
        <v>31608</v>
      </c>
    </row>
    <row r="176" spans="3:12">
      <c r="C176" s="109">
        <v>45908</v>
      </c>
      <c r="D176" s="322">
        <v>2890</v>
      </c>
      <c r="E176" s="277" t="s">
        <v>506</v>
      </c>
      <c r="F176" s="337">
        <v>12392</v>
      </c>
      <c r="G176" s="330">
        <v>247</v>
      </c>
      <c r="H176" s="327"/>
      <c r="I176" s="11"/>
      <c r="J176" s="39">
        <f t="shared" si="20"/>
        <v>12145</v>
      </c>
    </row>
    <row r="177" spans="3:12">
      <c r="C177" s="109">
        <v>45912</v>
      </c>
      <c r="D177" s="322">
        <v>2910</v>
      </c>
      <c r="E177" s="277" t="s">
        <v>549</v>
      </c>
      <c r="F177" s="337">
        <v>48868</v>
      </c>
      <c r="G177" s="330">
        <v>1000</v>
      </c>
      <c r="H177" s="327"/>
      <c r="I177" s="11"/>
      <c r="J177" s="39">
        <f t="shared" ref="J177:J179" si="21">+F177-G177-H177</f>
        <v>47868</v>
      </c>
    </row>
    <row r="178" spans="3:12">
      <c r="C178" s="109">
        <v>45913</v>
      </c>
      <c r="D178" s="322">
        <v>3000</v>
      </c>
      <c r="E178" s="277" t="s">
        <v>820</v>
      </c>
      <c r="F178" s="337">
        <v>59596</v>
      </c>
      <c r="G178" s="330">
        <v>1787</v>
      </c>
      <c r="H178" s="327"/>
      <c r="I178" s="11"/>
      <c r="J178" s="39">
        <f t="shared" si="21"/>
        <v>57809</v>
      </c>
    </row>
    <row r="179" spans="3:12">
      <c r="C179" s="109">
        <v>45913</v>
      </c>
      <c r="D179" s="322">
        <v>3020</v>
      </c>
      <c r="E179" s="277" t="s">
        <v>677</v>
      </c>
      <c r="F179" s="337">
        <v>53975</v>
      </c>
      <c r="G179" s="330">
        <v>1080</v>
      </c>
      <c r="H179" s="327"/>
      <c r="I179" s="11"/>
      <c r="J179" s="39">
        <f t="shared" si="21"/>
        <v>52895</v>
      </c>
    </row>
    <row r="180" spans="3:12">
      <c r="C180" s="109">
        <v>45915</v>
      </c>
      <c r="D180" s="322">
        <v>3160</v>
      </c>
      <c r="E180" s="277" t="s">
        <v>451</v>
      </c>
      <c r="F180" s="337">
        <v>32251</v>
      </c>
      <c r="G180" s="330">
        <v>967</v>
      </c>
      <c r="H180" s="327"/>
      <c r="I180" s="11"/>
      <c r="J180" s="39">
        <f t="shared" ref="J180:J182" si="22">+F180-G180-H180</f>
        <v>31284</v>
      </c>
    </row>
    <row r="181" spans="3:12">
      <c r="C181" s="109">
        <v>45915</v>
      </c>
      <c r="D181" s="322">
        <v>3190</v>
      </c>
      <c r="E181" s="277" t="s">
        <v>951</v>
      </c>
      <c r="F181" s="337">
        <v>43831</v>
      </c>
      <c r="G181" s="330">
        <v>1315</v>
      </c>
      <c r="H181" s="327"/>
      <c r="I181" s="30"/>
      <c r="J181" s="330">
        <f t="shared" si="22"/>
        <v>42516</v>
      </c>
    </row>
    <row r="182" spans="3:12">
      <c r="C182" s="109">
        <v>45918</v>
      </c>
      <c r="D182" s="322">
        <v>3250</v>
      </c>
      <c r="E182" s="277" t="s">
        <v>549</v>
      </c>
      <c r="F182" s="337">
        <v>49975</v>
      </c>
      <c r="G182" s="330">
        <v>1000</v>
      </c>
      <c r="H182" s="327"/>
      <c r="I182" s="11"/>
      <c r="J182" s="39">
        <f t="shared" si="22"/>
        <v>48975</v>
      </c>
    </row>
    <row r="183" spans="3:12">
      <c r="C183" s="109">
        <v>45918</v>
      </c>
      <c r="D183" s="322">
        <v>3260</v>
      </c>
      <c r="E183" s="277" t="s">
        <v>583</v>
      </c>
      <c r="F183" s="337">
        <v>36118</v>
      </c>
      <c r="G183" s="330">
        <v>1083</v>
      </c>
      <c r="H183" s="327"/>
      <c r="I183" s="11"/>
      <c r="J183" s="39">
        <f t="shared" ref="J183:J185" si="23">+F183-G183-H183</f>
        <v>35035</v>
      </c>
    </row>
    <row r="184" spans="3:12">
      <c r="C184" s="109">
        <v>45918</v>
      </c>
      <c r="D184" s="322">
        <v>3270</v>
      </c>
      <c r="E184" s="277" t="s">
        <v>952</v>
      </c>
      <c r="F184" s="337">
        <v>16446</v>
      </c>
      <c r="G184" s="330">
        <v>329</v>
      </c>
      <c r="H184" s="327"/>
      <c r="I184" s="11"/>
      <c r="J184" s="39">
        <f t="shared" si="23"/>
        <v>16117</v>
      </c>
    </row>
    <row r="185" spans="3:12">
      <c r="C185" s="109">
        <v>45918</v>
      </c>
      <c r="D185" s="322">
        <v>3280</v>
      </c>
      <c r="E185" s="277" t="s">
        <v>264</v>
      </c>
      <c r="F185" s="337">
        <v>18150</v>
      </c>
      <c r="G185" s="330">
        <v>363</v>
      </c>
      <c r="H185" s="327"/>
      <c r="I185" s="11"/>
      <c r="J185" s="39">
        <f t="shared" si="23"/>
        <v>17787</v>
      </c>
    </row>
    <row r="186" spans="3:12">
      <c r="C186" s="109">
        <v>45920</v>
      </c>
      <c r="D186" s="322">
        <v>2900</v>
      </c>
      <c r="E186" s="277" t="s">
        <v>264</v>
      </c>
      <c r="F186" s="337">
        <v>39296</v>
      </c>
      <c r="G186" s="330">
        <v>515</v>
      </c>
      <c r="H186" s="327"/>
      <c r="I186" s="11"/>
      <c r="J186" s="39">
        <f t="shared" ref="J186:J196" si="24">+F186-G186-H186</f>
        <v>38781</v>
      </c>
    </row>
    <row r="187" spans="3:12">
      <c r="C187" s="109">
        <v>45920</v>
      </c>
      <c r="D187" s="322">
        <v>3390</v>
      </c>
      <c r="E187" s="277" t="s">
        <v>894</v>
      </c>
      <c r="F187" s="337">
        <v>80313</v>
      </c>
      <c r="G187" s="330">
        <v>2409</v>
      </c>
      <c r="H187" s="327"/>
      <c r="I187" s="11"/>
      <c r="J187" s="39">
        <f t="shared" si="24"/>
        <v>77904</v>
      </c>
    </row>
    <row r="188" spans="3:12">
      <c r="C188" s="109">
        <v>45920</v>
      </c>
      <c r="D188" s="322">
        <v>3400</v>
      </c>
      <c r="E188" s="277" t="s">
        <v>953</v>
      </c>
      <c r="F188" s="337">
        <v>97737</v>
      </c>
      <c r="G188" s="330"/>
      <c r="H188" s="327"/>
      <c r="I188" s="11"/>
      <c r="J188" s="39">
        <f t="shared" si="24"/>
        <v>97737</v>
      </c>
      <c r="L188" s="44">
        <v>2932</v>
      </c>
    </row>
    <row r="189" spans="3:12">
      <c r="C189" s="109">
        <v>45920</v>
      </c>
      <c r="D189" s="322">
        <v>3410</v>
      </c>
      <c r="E189" s="277" t="s">
        <v>484</v>
      </c>
      <c r="F189" s="337">
        <v>10792</v>
      </c>
      <c r="G189" s="330"/>
      <c r="H189" s="327"/>
      <c r="I189" s="11"/>
      <c r="J189" s="39">
        <f t="shared" si="24"/>
        <v>10792</v>
      </c>
    </row>
    <row r="190" spans="3:12">
      <c r="C190" s="109">
        <v>45920</v>
      </c>
      <c r="D190" s="322">
        <v>3430</v>
      </c>
      <c r="E190" s="277" t="s">
        <v>157</v>
      </c>
      <c r="F190" s="337">
        <v>181259</v>
      </c>
      <c r="G190" s="139">
        <v>5481</v>
      </c>
      <c r="H190" s="327"/>
      <c r="I190" s="11"/>
      <c r="J190" s="39">
        <f t="shared" si="24"/>
        <v>175778</v>
      </c>
    </row>
    <row r="191" spans="3:12">
      <c r="C191" s="109">
        <v>45920</v>
      </c>
      <c r="D191" s="322">
        <v>3450</v>
      </c>
      <c r="E191" s="277" t="s">
        <v>41</v>
      </c>
      <c r="F191" s="337">
        <v>708578</v>
      </c>
      <c r="G191" s="330">
        <v>21257</v>
      </c>
      <c r="H191" s="327">
        <v>14171</v>
      </c>
      <c r="I191" s="11"/>
      <c r="J191" s="39">
        <f t="shared" si="24"/>
        <v>673150</v>
      </c>
    </row>
    <row r="192" spans="3:12">
      <c r="C192" s="109">
        <v>45922</v>
      </c>
      <c r="D192" s="322">
        <v>3470</v>
      </c>
      <c r="E192" s="277" t="s">
        <v>965</v>
      </c>
      <c r="F192" s="337">
        <v>21074</v>
      </c>
      <c r="G192" s="330">
        <v>632</v>
      </c>
      <c r="H192" s="327"/>
      <c r="I192" s="11"/>
      <c r="J192" s="39">
        <f t="shared" si="24"/>
        <v>20442</v>
      </c>
    </row>
    <row r="193" spans="3:10">
      <c r="C193" s="109">
        <v>45922</v>
      </c>
      <c r="D193" s="322">
        <v>3480</v>
      </c>
      <c r="E193" s="277" t="s">
        <v>420</v>
      </c>
      <c r="F193" s="337">
        <v>73809</v>
      </c>
      <c r="G193" s="330"/>
      <c r="H193" s="327"/>
      <c r="I193" s="11"/>
      <c r="J193" s="39">
        <f t="shared" si="24"/>
        <v>73809</v>
      </c>
    </row>
    <row r="194" spans="3:10">
      <c r="C194" s="109">
        <v>45922</v>
      </c>
      <c r="D194" s="322">
        <v>3490</v>
      </c>
      <c r="E194" s="277" t="s">
        <v>965</v>
      </c>
      <c r="F194" s="337">
        <v>30003</v>
      </c>
      <c r="G194" s="330">
        <v>3</v>
      </c>
      <c r="H194" s="327"/>
      <c r="I194" s="11"/>
      <c r="J194" s="39">
        <f t="shared" si="24"/>
        <v>30000</v>
      </c>
    </row>
    <row r="195" spans="3:10">
      <c r="C195" s="109">
        <v>45922</v>
      </c>
      <c r="D195" s="322">
        <v>3500</v>
      </c>
      <c r="E195" s="277" t="s">
        <v>966</v>
      </c>
      <c r="F195" s="337">
        <v>60649</v>
      </c>
      <c r="G195" s="330">
        <v>1814</v>
      </c>
      <c r="H195" s="327"/>
      <c r="I195" s="11"/>
      <c r="J195" s="39">
        <f t="shared" si="24"/>
        <v>58835</v>
      </c>
    </row>
    <row r="196" spans="3:10">
      <c r="C196" s="109">
        <v>45922</v>
      </c>
      <c r="D196" s="322">
        <v>3510</v>
      </c>
      <c r="E196" s="277" t="s">
        <v>149</v>
      </c>
      <c r="F196" s="337">
        <v>50902</v>
      </c>
      <c r="G196" s="330">
        <v>1038</v>
      </c>
      <c r="H196" s="327"/>
      <c r="I196" s="11"/>
      <c r="J196" s="39">
        <f t="shared" si="24"/>
        <v>49864</v>
      </c>
    </row>
    <row r="197" spans="3:10">
      <c r="C197" s="109">
        <v>45919</v>
      </c>
      <c r="D197" s="322">
        <v>3300</v>
      </c>
      <c r="E197" s="277" t="s">
        <v>90</v>
      </c>
      <c r="F197" s="337">
        <v>36020</v>
      </c>
      <c r="G197" s="330">
        <v>1520</v>
      </c>
      <c r="H197" s="327"/>
      <c r="I197" s="11"/>
      <c r="J197" s="39">
        <f t="shared" ref="J197:J218" si="25">+F197-G197-H197</f>
        <v>34500</v>
      </c>
    </row>
    <row r="198" spans="3:10">
      <c r="C198" s="109">
        <v>45919</v>
      </c>
      <c r="D198" s="322">
        <v>3310</v>
      </c>
      <c r="E198" s="277" t="s">
        <v>222</v>
      </c>
      <c r="F198" s="337">
        <v>12821</v>
      </c>
      <c r="G198" s="330"/>
      <c r="H198" s="327"/>
      <c r="I198" s="11"/>
      <c r="J198" s="39">
        <f t="shared" si="25"/>
        <v>12821</v>
      </c>
    </row>
    <row r="199" spans="3:10">
      <c r="C199" s="109">
        <v>45919</v>
      </c>
      <c r="D199" s="322">
        <v>3330</v>
      </c>
      <c r="E199" s="277" t="s">
        <v>820</v>
      </c>
      <c r="F199" s="337">
        <v>41214</v>
      </c>
      <c r="G199" s="330">
        <v>1296</v>
      </c>
      <c r="H199" s="327"/>
      <c r="I199" s="11"/>
      <c r="J199" s="39">
        <f t="shared" si="25"/>
        <v>39918</v>
      </c>
    </row>
    <row r="200" spans="3:10">
      <c r="C200" s="109">
        <v>45919</v>
      </c>
      <c r="D200" s="322">
        <v>3340</v>
      </c>
      <c r="E200" s="277" t="s">
        <v>315</v>
      </c>
      <c r="F200" s="337">
        <v>27286</v>
      </c>
      <c r="G200" s="330">
        <v>818</v>
      </c>
      <c r="H200" s="327"/>
      <c r="I200" s="11"/>
      <c r="J200" s="39">
        <f t="shared" si="25"/>
        <v>26468</v>
      </c>
    </row>
    <row r="201" spans="3:10">
      <c r="C201" s="109">
        <v>45919</v>
      </c>
      <c r="D201" s="322">
        <v>3350</v>
      </c>
      <c r="E201" s="277" t="s">
        <v>223</v>
      </c>
      <c r="F201" s="96">
        <v>99319</v>
      </c>
      <c r="G201" s="330">
        <v>2979</v>
      </c>
      <c r="H201" s="327"/>
      <c r="I201" s="11"/>
      <c r="J201" s="39">
        <f t="shared" si="25"/>
        <v>96340</v>
      </c>
    </row>
    <row r="202" spans="3:10">
      <c r="C202" s="109">
        <v>45919</v>
      </c>
      <c r="D202" s="322">
        <v>3360</v>
      </c>
      <c r="E202" s="277" t="s">
        <v>195</v>
      </c>
      <c r="F202" s="337">
        <v>87757</v>
      </c>
      <c r="G202" s="330">
        <v>2633</v>
      </c>
      <c r="H202" s="327"/>
      <c r="I202" s="11"/>
      <c r="J202" s="39">
        <f t="shared" si="25"/>
        <v>85124</v>
      </c>
    </row>
    <row r="203" spans="3:10">
      <c r="C203" s="109">
        <v>45925</v>
      </c>
      <c r="D203" s="322">
        <v>3520</v>
      </c>
      <c r="E203" s="277" t="s">
        <v>989</v>
      </c>
      <c r="F203" s="337">
        <v>17406</v>
      </c>
      <c r="G203" s="330">
        <v>348</v>
      </c>
      <c r="H203" s="327"/>
      <c r="I203" s="11"/>
      <c r="J203" s="39">
        <f t="shared" si="25"/>
        <v>17058</v>
      </c>
    </row>
    <row r="204" spans="3:10">
      <c r="C204" s="109">
        <v>45925</v>
      </c>
      <c r="D204" s="322">
        <v>3530</v>
      </c>
      <c r="E204" s="277" t="s">
        <v>305</v>
      </c>
      <c r="F204" s="337">
        <v>19613</v>
      </c>
      <c r="G204" s="330">
        <v>588</v>
      </c>
      <c r="H204" s="327"/>
      <c r="I204" s="11"/>
      <c r="J204" s="39">
        <f t="shared" si="25"/>
        <v>19025</v>
      </c>
    </row>
    <row r="205" spans="3:10">
      <c r="C205" s="109">
        <v>45925</v>
      </c>
      <c r="D205" s="322">
        <v>3540</v>
      </c>
      <c r="E205" s="277" t="s">
        <v>211</v>
      </c>
      <c r="F205" s="337">
        <v>95248</v>
      </c>
      <c r="G205" s="330"/>
      <c r="H205" s="327"/>
      <c r="I205" s="11"/>
      <c r="J205" s="39">
        <f t="shared" si="25"/>
        <v>95248</v>
      </c>
    </row>
    <row r="206" spans="3:10">
      <c r="C206" s="109">
        <v>45925</v>
      </c>
      <c r="D206" s="322">
        <v>3550</v>
      </c>
      <c r="E206" s="277" t="s">
        <v>475</v>
      </c>
      <c r="F206" s="337">
        <v>9399</v>
      </c>
      <c r="G206" s="330">
        <v>187</v>
      </c>
      <c r="H206" s="327"/>
      <c r="I206" s="11"/>
      <c r="J206" s="39">
        <f t="shared" si="25"/>
        <v>9212</v>
      </c>
    </row>
    <row r="207" spans="3:10">
      <c r="C207" s="109">
        <v>45925</v>
      </c>
      <c r="D207" s="322">
        <v>3560</v>
      </c>
      <c r="E207" s="277" t="s">
        <v>990</v>
      </c>
      <c r="F207" s="337">
        <v>53314</v>
      </c>
      <c r="G207" s="330"/>
      <c r="H207" s="327"/>
      <c r="I207" s="11"/>
      <c r="J207" s="39">
        <f t="shared" si="25"/>
        <v>53314</v>
      </c>
    </row>
    <row r="208" spans="3:10">
      <c r="C208" s="109">
        <v>45925</v>
      </c>
      <c r="D208" s="322">
        <v>3580</v>
      </c>
      <c r="E208" s="277" t="s">
        <v>549</v>
      </c>
      <c r="F208" s="337">
        <v>4287</v>
      </c>
      <c r="G208" s="330">
        <v>85</v>
      </c>
      <c r="H208" s="327"/>
      <c r="I208" s="11"/>
      <c r="J208" s="39">
        <f t="shared" si="25"/>
        <v>4202</v>
      </c>
    </row>
    <row r="209" spans="2:10">
      <c r="C209" s="109">
        <v>45925</v>
      </c>
      <c r="D209" s="322">
        <v>3590</v>
      </c>
      <c r="E209" s="277" t="s">
        <v>264</v>
      </c>
      <c r="F209" s="322">
        <v>18796</v>
      </c>
      <c r="G209" s="330">
        <v>376</v>
      </c>
      <c r="H209" s="327"/>
      <c r="I209" s="11"/>
      <c r="J209" s="39">
        <f t="shared" si="25"/>
        <v>18420</v>
      </c>
    </row>
    <row r="210" spans="2:10">
      <c r="C210" s="109">
        <v>45925</v>
      </c>
      <c r="D210" s="322">
        <v>3600</v>
      </c>
      <c r="E210" s="277" t="s">
        <v>442</v>
      </c>
      <c r="F210" s="337">
        <v>47602</v>
      </c>
      <c r="G210" s="330">
        <v>952</v>
      </c>
      <c r="H210" s="327"/>
      <c r="I210" s="11"/>
      <c r="J210" s="39">
        <f t="shared" si="25"/>
        <v>46650</v>
      </c>
    </row>
    <row r="211" spans="2:10">
      <c r="C211" s="109">
        <v>45925</v>
      </c>
      <c r="D211" s="322">
        <v>3610</v>
      </c>
      <c r="E211" s="277" t="s">
        <v>954</v>
      </c>
      <c r="F211" s="337">
        <v>38665</v>
      </c>
      <c r="G211" s="330">
        <v>773</v>
      </c>
      <c r="H211" s="327"/>
      <c r="I211" s="11"/>
      <c r="J211" s="39">
        <f t="shared" si="25"/>
        <v>37892</v>
      </c>
    </row>
    <row r="212" spans="2:10">
      <c r="C212" s="109">
        <v>45926</v>
      </c>
      <c r="D212" s="322">
        <v>3630</v>
      </c>
      <c r="E212" s="277" t="s">
        <v>90</v>
      </c>
      <c r="F212" s="337">
        <v>49720</v>
      </c>
      <c r="G212" s="330">
        <v>1490</v>
      </c>
      <c r="H212" s="327"/>
      <c r="I212" s="11"/>
      <c r="J212" s="39">
        <f t="shared" si="25"/>
        <v>48230</v>
      </c>
    </row>
    <row r="213" spans="2:10">
      <c r="C213" s="109">
        <v>45926</v>
      </c>
      <c r="D213" s="322">
        <v>3640</v>
      </c>
      <c r="E213" s="277" t="s">
        <v>991</v>
      </c>
      <c r="F213" s="337">
        <v>167107</v>
      </c>
      <c r="G213" s="330">
        <v>5107</v>
      </c>
      <c r="H213" s="327"/>
      <c r="I213" s="11"/>
      <c r="J213" s="39">
        <f t="shared" si="25"/>
        <v>162000</v>
      </c>
    </row>
    <row r="214" spans="2:10">
      <c r="C214" s="109">
        <v>45926</v>
      </c>
      <c r="D214" s="322">
        <v>3650</v>
      </c>
      <c r="E214" s="277" t="s">
        <v>194</v>
      </c>
      <c r="F214" s="337">
        <v>21820</v>
      </c>
      <c r="G214" s="330">
        <v>670</v>
      </c>
      <c r="H214" s="327"/>
      <c r="I214" s="11"/>
      <c r="J214" s="39">
        <f t="shared" si="25"/>
        <v>21150</v>
      </c>
    </row>
    <row r="215" spans="2:10">
      <c r="C215" s="109">
        <v>45926</v>
      </c>
      <c r="D215" s="322">
        <v>3660</v>
      </c>
      <c r="E215" s="277" t="s">
        <v>195</v>
      </c>
      <c r="F215" s="337">
        <v>91171</v>
      </c>
      <c r="G215" s="330">
        <v>2735</v>
      </c>
      <c r="H215" s="327"/>
      <c r="I215" s="11"/>
      <c r="J215" s="39">
        <f t="shared" si="25"/>
        <v>88436</v>
      </c>
    </row>
    <row r="216" spans="2:10">
      <c r="C216" s="109">
        <v>45926</v>
      </c>
      <c r="D216" s="322">
        <v>3670</v>
      </c>
      <c r="E216" s="277" t="s">
        <v>223</v>
      </c>
      <c r="F216" s="337">
        <v>99525</v>
      </c>
      <c r="G216" s="330">
        <v>2986</v>
      </c>
      <c r="H216" s="327"/>
      <c r="I216" s="11"/>
      <c r="J216" s="39">
        <f t="shared" si="25"/>
        <v>96539</v>
      </c>
    </row>
    <row r="217" spans="2:10">
      <c r="C217" s="109">
        <v>45926</v>
      </c>
      <c r="D217" s="322">
        <v>3680</v>
      </c>
      <c r="E217" s="277" t="s">
        <v>820</v>
      </c>
      <c r="F217" s="337">
        <v>34760</v>
      </c>
      <c r="G217" s="330">
        <v>1042</v>
      </c>
      <c r="H217" s="327"/>
      <c r="I217" s="11"/>
      <c r="J217" s="39">
        <f t="shared" si="25"/>
        <v>33718</v>
      </c>
    </row>
    <row r="218" spans="2:10">
      <c r="C218" s="109">
        <v>45926</v>
      </c>
      <c r="D218" s="322">
        <v>3690</v>
      </c>
      <c r="E218" s="277" t="s">
        <v>677</v>
      </c>
      <c r="F218" s="337">
        <v>42084</v>
      </c>
      <c r="G218" s="330">
        <v>884</v>
      </c>
      <c r="H218" s="327"/>
      <c r="I218" s="11"/>
      <c r="J218" s="39">
        <f t="shared" si="25"/>
        <v>41200</v>
      </c>
    </row>
    <row r="219" spans="2:10">
      <c r="C219" s="109">
        <v>45926</v>
      </c>
      <c r="D219" s="322">
        <v>3710</v>
      </c>
      <c r="E219" s="277" t="s">
        <v>482</v>
      </c>
      <c r="F219" s="337">
        <v>7364</v>
      </c>
      <c r="G219" s="330">
        <v>147</v>
      </c>
      <c r="H219" s="327"/>
      <c r="I219" s="11"/>
      <c r="J219" s="39">
        <f t="shared" ref="J219:J221" si="26">+F219-G219-H219</f>
        <v>7217</v>
      </c>
    </row>
    <row r="220" spans="2:10">
      <c r="C220" s="109">
        <v>45926</v>
      </c>
      <c r="D220" s="322">
        <v>3720</v>
      </c>
      <c r="E220" s="277" t="s">
        <v>222</v>
      </c>
      <c r="F220" s="337">
        <v>15950</v>
      </c>
      <c r="G220" s="330">
        <v>319</v>
      </c>
      <c r="H220" s="327"/>
      <c r="I220" s="11"/>
      <c r="J220" s="39">
        <f t="shared" si="26"/>
        <v>15631</v>
      </c>
    </row>
    <row r="221" spans="2:10">
      <c r="B221" s="109"/>
      <c r="C221" s="109">
        <v>45927</v>
      </c>
      <c r="D221" s="322">
        <v>3760</v>
      </c>
      <c r="E221" s="415" t="s">
        <v>279</v>
      </c>
      <c r="F221" s="330">
        <v>7025</v>
      </c>
      <c r="G221" s="327"/>
      <c r="H221" s="11"/>
      <c r="I221" s="39" t="e">
        <f t="shared" ref="I221" si="27">+E221-F221-G221</f>
        <v>#VALUE!</v>
      </c>
      <c r="J221" s="39">
        <f t="shared" si="26"/>
        <v>7025</v>
      </c>
    </row>
    <row r="222" spans="2:10">
      <c r="C222" s="109">
        <v>45927</v>
      </c>
      <c r="D222" s="322">
        <v>3770</v>
      </c>
      <c r="E222" s="277" t="s">
        <v>992</v>
      </c>
      <c r="F222" s="337">
        <v>11045</v>
      </c>
      <c r="G222" s="330">
        <v>221</v>
      </c>
      <c r="H222" s="327"/>
      <c r="I222" s="11"/>
      <c r="J222" s="39">
        <f t="shared" ref="J222:J241" si="28">+F222-G222-H222</f>
        <v>10824</v>
      </c>
    </row>
    <row r="223" spans="2:10">
      <c r="C223" s="109">
        <v>45927</v>
      </c>
      <c r="D223" s="322">
        <v>3780</v>
      </c>
      <c r="E223" s="277" t="s">
        <v>157</v>
      </c>
      <c r="F223" s="337">
        <v>77176</v>
      </c>
      <c r="G223" s="330">
        <v>2315</v>
      </c>
      <c r="H223" s="327"/>
      <c r="I223" s="11"/>
      <c r="J223" s="39">
        <f t="shared" si="28"/>
        <v>74861</v>
      </c>
    </row>
    <row r="224" spans="2:10">
      <c r="C224" s="359">
        <v>45927</v>
      </c>
      <c r="D224" s="361">
        <v>3800</v>
      </c>
      <c r="E224" s="416" t="s">
        <v>190</v>
      </c>
      <c r="F224" s="362">
        <v>1080254</v>
      </c>
      <c r="G224" s="363">
        <v>32408</v>
      </c>
      <c r="H224" s="364">
        <v>21605</v>
      </c>
      <c r="I224" s="360"/>
      <c r="J224" s="363">
        <f t="shared" si="28"/>
        <v>1026241</v>
      </c>
    </row>
    <row r="225" spans="3:10">
      <c r="C225" s="109">
        <v>45929</v>
      </c>
      <c r="D225" s="322">
        <v>3830</v>
      </c>
      <c r="E225" s="277" t="s">
        <v>965</v>
      </c>
      <c r="F225" s="337">
        <v>7025</v>
      </c>
      <c r="G225" s="330">
        <v>210</v>
      </c>
      <c r="H225" s="327"/>
      <c r="I225" s="11"/>
      <c r="J225" s="39">
        <f t="shared" si="28"/>
        <v>6815</v>
      </c>
    </row>
    <row r="226" spans="3:10">
      <c r="C226" s="109">
        <v>45929</v>
      </c>
      <c r="D226" s="322">
        <v>3840</v>
      </c>
      <c r="E226" s="277" t="s">
        <v>149</v>
      </c>
      <c r="F226" s="337">
        <v>28413</v>
      </c>
      <c r="G226" s="330">
        <v>461</v>
      </c>
      <c r="H226" s="327"/>
      <c r="I226" s="11"/>
      <c r="J226" s="39">
        <f t="shared" si="28"/>
        <v>27952</v>
      </c>
    </row>
    <row r="227" spans="3:10">
      <c r="C227" s="109">
        <v>45929</v>
      </c>
      <c r="D227" s="322">
        <v>3850</v>
      </c>
      <c r="E227" s="277" t="s">
        <v>994</v>
      </c>
      <c r="F227" s="337">
        <v>105805</v>
      </c>
      <c r="G227" s="330">
        <v>3174</v>
      </c>
      <c r="H227" s="327"/>
      <c r="I227" s="11"/>
      <c r="J227" s="39">
        <f t="shared" si="28"/>
        <v>102631</v>
      </c>
    </row>
    <row r="228" spans="3:10">
      <c r="C228" s="109">
        <v>45929</v>
      </c>
      <c r="D228" s="322">
        <v>3860</v>
      </c>
      <c r="E228" s="277" t="s">
        <v>995</v>
      </c>
      <c r="F228" s="337">
        <v>26838</v>
      </c>
      <c r="G228" s="330">
        <v>536</v>
      </c>
      <c r="H228" s="327"/>
      <c r="I228" s="11"/>
      <c r="J228" s="39">
        <f t="shared" si="28"/>
        <v>26302</v>
      </c>
    </row>
    <row r="229" spans="3:10">
      <c r="C229" s="109">
        <v>45929</v>
      </c>
      <c r="D229" s="322">
        <v>3870</v>
      </c>
      <c r="E229" s="277" t="s">
        <v>109</v>
      </c>
      <c r="F229" s="337">
        <v>38130</v>
      </c>
      <c r="G229" s="330"/>
      <c r="H229" s="327"/>
      <c r="I229" s="11"/>
      <c r="J229" s="39">
        <f t="shared" si="28"/>
        <v>38130</v>
      </c>
    </row>
    <row r="230" spans="3:10">
      <c r="C230" s="109">
        <v>45929</v>
      </c>
      <c r="D230" s="322">
        <v>3880</v>
      </c>
      <c r="E230" s="277" t="s">
        <v>497</v>
      </c>
      <c r="F230" s="337">
        <v>46781</v>
      </c>
      <c r="G230" s="330"/>
      <c r="H230" s="327"/>
      <c r="I230" s="11"/>
      <c r="J230" s="39">
        <f t="shared" si="28"/>
        <v>46781</v>
      </c>
    </row>
    <row r="231" spans="3:10">
      <c r="C231" s="109">
        <v>45930</v>
      </c>
      <c r="D231" s="322">
        <v>3790</v>
      </c>
      <c r="E231" s="277" t="s">
        <v>544</v>
      </c>
      <c r="F231" s="337">
        <v>474747</v>
      </c>
      <c r="G231" s="154">
        <v>14242</v>
      </c>
      <c r="H231" s="154">
        <v>9495</v>
      </c>
      <c r="I231" s="11"/>
      <c r="J231" s="39">
        <f t="shared" si="28"/>
        <v>451010</v>
      </c>
    </row>
    <row r="232" spans="3:10">
      <c r="C232" s="109"/>
      <c r="D232" s="30"/>
      <c r="E232" s="277"/>
      <c r="F232" s="337"/>
      <c r="G232" s="330"/>
      <c r="H232" s="327"/>
      <c r="I232" s="11"/>
      <c r="J232" s="39">
        <f t="shared" si="28"/>
        <v>0</v>
      </c>
    </row>
    <row r="233" spans="3:10">
      <c r="C233" s="109"/>
      <c r="D233" s="30"/>
      <c r="E233" s="277"/>
      <c r="F233" s="337"/>
      <c r="G233" s="330"/>
      <c r="H233" s="327"/>
      <c r="I233" s="11"/>
      <c r="J233" s="39">
        <f t="shared" si="28"/>
        <v>0</v>
      </c>
    </row>
    <row r="234" spans="3:10">
      <c r="C234" s="109"/>
      <c r="D234" s="30"/>
      <c r="E234" s="277"/>
      <c r="F234" s="337"/>
      <c r="G234" s="330"/>
      <c r="H234" s="327"/>
      <c r="I234" s="11"/>
      <c r="J234" s="39">
        <f t="shared" si="28"/>
        <v>0</v>
      </c>
    </row>
    <row r="235" spans="3:10">
      <c r="C235" s="109"/>
      <c r="D235" s="30"/>
      <c r="E235" s="277"/>
      <c r="F235" s="337"/>
      <c r="G235" s="330"/>
      <c r="H235" s="327"/>
      <c r="I235" s="11"/>
      <c r="J235" s="39">
        <f t="shared" si="28"/>
        <v>0</v>
      </c>
    </row>
    <row r="236" spans="3:10">
      <c r="C236" s="109"/>
      <c r="D236" s="30"/>
      <c r="E236" s="277"/>
      <c r="F236" s="337"/>
      <c r="G236" s="330"/>
      <c r="H236" s="327"/>
      <c r="I236" s="11"/>
      <c r="J236" s="39">
        <f t="shared" si="28"/>
        <v>0</v>
      </c>
    </row>
    <row r="237" spans="3:10">
      <c r="C237" s="109"/>
      <c r="D237" s="30"/>
      <c r="E237" s="277"/>
      <c r="F237" s="337"/>
      <c r="G237" s="330"/>
      <c r="H237" s="327"/>
      <c r="I237" s="11"/>
      <c r="J237" s="39">
        <f t="shared" si="28"/>
        <v>0</v>
      </c>
    </row>
    <row r="238" spans="3:10">
      <c r="C238" s="109"/>
      <c r="D238" s="30"/>
      <c r="E238" s="277"/>
      <c r="F238" s="337"/>
      <c r="G238" s="330"/>
      <c r="H238" s="327"/>
      <c r="I238" s="11"/>
      <c r="J238" s="39">
        <f t="shared" si="28"/>
        <v>0</v>
      </c>
    </row>
    <row r="239" spans="3:10">
      <c r="C239" s="109"/>
      <c r="D239" s="30"/>
      <c r="E239" s="322"/>
      <c r="F239" s="337"/>
      <c r="G239" s="330"/>
      <c r="H239" s="327"/>
      <c r="I239" s="11"/>
      <c r="J239" s="39">
        <f t="shared" si="28"/>
        <v>0</v>
      </c>
    </row>
    <row r="240" spans="3:10">
      <c r="C240" s="109"/>
      <c r="D240" s="30"/>
      <c r="E240" s="322"/>
      <c r="F240" s="337"/>
      <c r="G240" s="330"/>
      <c r="H240" s="327"/>
      <c r="I240" s="11"/>
      <c r="J240" s="39">
        <f t="shared" si="28"/>
        <v>0</v>
      </c>
    </row>
    <row r="241" spans="3:10">
      <c r="C241" s="109"/>
      <c r="D241" s="30"/>
      <c r="E241" s="322"/>
      <c r="F241" s="337"/>
      <c r="G241" s="330"/>
      <c r="H241" s="327"/>
      <c r="I241" s="11"/>
      <c r="J241" s="39">
        <f t="shared" si="28"/>
        <v>0</v>
      </c>
    </row>
    <row r="243" spans="3:10">
      <c r="F243" s="366" t="s">
        <v>1020</v>
      </c>
      <c r="G243" s="365">
        <f>SUM(G134:G242)</f>
        <v>285186</v>
      </c>
      <c r="H243" s="324">
        <f>SUM(H134:H242)</f>
        <v>116712</v>
      </c>
      <c r="J243" s="51" t="s">
        <v>131</v>
      </c>
    </row>
    <row r="244" spans="3:10">
      <c r="G244" s="51">
        <v>306000</v>
      </c>
    </row>
    <row r="258" spans="3:14" ht="21">
      <c r="E258" s="423">
        <v>45931</v>
      </c>
    </row>
    <row r="259" spans="3:14">
      <c r="C259" s="323" t="s">
        <v>0</v>
      </c>
      <c r="D259" s="56" t="s">
        <v>129</v>
      </c>
      <c r="E259" s="136" t="s">
        <v>19</v>
      </c>
      <c r="F259" s="332" t="s">
        <v>2</v>
      </c>
      <c r="G259" s="328" t="s">
        <v>132</v>
      </c>
      <c r="H259" s="325" t="s">
        <v>133</v>
      </c>
      <c r="I259" s="57"/>
      <c r="J259" s="328" t="s">
        <v>136</v>
      </c>
      <c r="K259" s="57"/>
    </row>
    <row r="260" spans="3:14">
      <c r="C260" s="109">
        <v>45931</v>
      </c>
      <c r="D260" s="11">
        <v>3900</v>
      </c>
      <c r="E260" s="405" t="s">
        <v>1248</v>
      </c>
      <c r="F260" s="424">
        <v>28740</v>
      </c>
      <c r="G260" s="426">
        <v>494</v>
      </c>
      <c r="H260" s="430"/>
      <c r="I260" s="11"/>
      <c r="J260" s="426">
        <f>+F260-G260-H260</f>
        <v>28246</v>
      </c>
    </row>
    <row r="261" spans="3:14">
      <c r="C261" s="109">
        <v>45931</v>
      </c>
      <c r="D261" s="11">
        <v>3910</v>
      </c>
      <c r="E261" s="405" t="s">
        <v>138</v>
      </c>
      <c r="F261" s="424">
        <v>18473</v>
      </c>
      <c r="G261" s="426">
        <v>297</v>
      </c>
      <c r="H261" s="430"/>
      <c r="I261" s="11"/>
      <c r="J261" s="426">
        <f t="shared" ref="J261:J270" si="29">+F261-G261-H261</f>
        <v>18176</v>
      </c>
    </row>
    <row r="262" spans="3:14">
      <c r="C262" s="109">
        <v>45931</v>
      </c>
      <c r="D262" s="11">
        <v>3920</v>
      </c>
      <c r="E262" s="405" t="s">
        <v>1249</v>
      </c>
      <c r="F262" s="424">
        <v>2719</v>
      </c>
      <c r="G262" s="427">
        <v>0</v>
      </c>
      <c r="H262" s="430"/>
      <c r="I262" s="11"/>
      <c r="J262" s="426">
        <f t="shared" si="29"/>
        <v>2719</v>
      </c>
    </row>
    <row r="263" spans="3:14">
      <c r="C263" s="109">
        <v>45931</v>
      </c>
      <c r="D263" s="11">
        <v>3930</v>
      </c>
      <c r="E263" s="405" t="s">
        <v>476</v>
      </c>
      <c r="F263" s="424">
        <v>27005</v>
      </c>
      <c r="G263" s="428">
        <v>805</v>
      </c>
      <c r="H263" s="430"/>
      <c r="I263" s="11"/>
      <c r="J263" s="426">
        <f t="shared" si="29"/>
        <v>26200</v>
      </c>
    </row>
    <row r="264" spans="3:14">
      <c r="C264" s="109">
        <v>45931</v>
      </c>
      <c r="D264" s="11">
        <v>3940</v>
      </c>
      <c r="E264" s="405" t="s">
        <v>1250</v>
      </c>
      <c r="F264" s="424">
        <v>7088</v>
      </c>
      <c r="G264" s="426">
        <v>141</v>
      </c>
      <c r="H264" s="430"/>
      <c r="I264" s="11"/>
      <c r="J264" s="426">
        <f t="shared" si="29"/>
        <v>6947</v>
      </c>
    </row>
    <row r="265" spans="3:14">
      <c r="C265" s="109">
        <v>45931</v>
      </c>
      <c r="D265" s="11">
        <v>3950</v>
      </c>
      <c r="E265" s="405" t="s">
        <v>1251</v>
      </c>
      <c r="F265" s="424">
        <v>31166</v>
      </c>
      <c r="G265" s="426">
        <v>623</v>
      </c>
      <c r="H265" s="430"/>
      <c r="I265" s="11"/>
      <c r="J265" s="426">
        <f t="shared" si="29"/>
        <v>30543</v>
      </c>
    </row>
    <row r="266" spans="3:14">
      <c r="C266" s="109">
        <v>45931</v>
      </c>
      <c r="D266" s="11">
        <v>3960</v>
      </c>
      <c r="E266" s="405" t="s">
        <v>855</v>
      </c>
      <c r="F266" s="425">
        <v>71406</v>
      </c>
      <c r="G266" s="426">
        <v>2142</v>
      </c>
      <c r="H266" s="430"/>
      <c r="I266" s="11"/>
      <c r="J266" s="426">
        <f t="shared" si="29"/>
        <v>69264</v>
      </c>
    </row>
    <row r="267" spans="3:14">
      <c r="C267" s="439">
        <v>45931</v>
      </c>
      <c r="D267" s="344">
        <v>3970</v>
      </c>
      <c r="E267" s="440" t="s">
        <v>1252</v>
      </c>
      <c r="F267" s="441">
        <v>262991</v>
      </c>
      <c r="G267" s="442">
        <f>10520+46973</f>
        <v>57493</v>
      </c>
      <c r="H267" s="446">
        <v>5259</v>
      </c>
      <c r="I267" s="344"/>
      <c r="J267" s="442">
        <f t="shared" si="29"/>
        <v>200239</v>
      </c>
      <c r="N267" s="453"/>
    </row>
    <row r="268" spans="3:14">
      <c r="C268" s="109">
        <v>45933</v>
      </c>
      <c r="D268" s="11">
        <v>3980</v>
      </c>
      <c r="E268" s="405" t="s">
        <v>222</v>
      </c>
      <c r="F268" s="424">
        <v>16557</v>
      </c>
      <c r="G268" s="426">
        <v>331</v>
      </c>
      <c r="H268" s="430"/>
      <c r="I268" s="11"/>
      <c r="J268" s="426">
        <f t="shared" si="29"/>
        <v>16226</v>
      </c>
      <c r="M268" s="454">
        <v>331</v>
      </c>
      <c r="N268" s="163" t="s">
        <v>128</v>
      </c>
    </row>
    <row r="269" spans="3:14">
      <c r="C269" s="109">
        <v>45933</v>
      </c>
      <c r="D269" s="11">
        <v>3990</v>
      </c>
      <c r="E269" s="405" t="s">
        <v>90</v>
      </c>
      <c r="F269" s="424">
        <v>44009</v>
      </c>
      <c r="G269" s="426">
        <v>1320</v>
      </c>
      <c r="H269" s="430"/>
      <c r="I269" s="11"/>
      <c r="J269" s="426">
        <f t="shared" si="29"/>
        <v>42689</v>
      </c>
    </row>
    <row r="270" spans="3:14">
      <c r="C270" s="109">
        <v>45933</v>
      </c>
      <c r="D270" s="11">
        <v>4000</v>
      </c>
      <c r="E270" s="405" t="s">
        <v>1253</v>
      </c>
      <c r="F270" s="424">
        <v>55810</v>
      </c>
      <c r="G270" s="426">
        <v>2413</v>
      </c>
      <c r="H270" s="430"/>
      <c r="I270" s="11"/>
      <c r="J270" s="426">
        <f t="shared" si="29"/>
        <v>53397</v>
      </c>
    </row>
    <row r="271" spans="3:14">
      <c r="C271" s="109">
        <v>45933</v>
      </c>
      <c r="D271" s="11">
        <v>4010</v>
      </c>
      <c r="E271" s="405" t="s">
        <v>35</v>
      </c>
      <c r="F271" s="424">
        <v>36105</v>
      </c>
      <c r="G271" s="426">
        <v>1105</v>
      </c>
      <c r="H271" s="430"/>
      <c r="I271" s="11"/>
      <c r="J271" s="426">
        <f>+F271-G271-H271</f>
        <v>35000</v>
      </c>
    </row>
    <row r="272" spans="3:14">
      <c r="C272" s="109">
        <v>45933</v>
      </c>
      <c r="D272" s="11">
        <v>4020</v>
      </c>
      <c r="E272" s="405" t="s">
        <v>195</v>
      </c>
      <c r="F272" s="424">
        <v>122879</v>
      </c>
      <c r="G272" s="426">
        <v>3690</v>
      </c>
      <c r="H272" s="430"/>
      <c r="I272" s="11"/>
      <c r="J272" s="426">
        <f t="shared" ref="J272:J281" si="30">+F272-G272-H272</f>
        <v>119189</v>
      </c>
    </row>
    <row r="273" spans="3:14">
      <c r="C273" s="109">
        <v>45933</v>
      </c>
      <c r="D273" s="11">
        <v>4030</v>
      </c>
      <c r="E273" s="405" t="s">
        <v>820</v>
      </c>
      <c r="F273" s="424">
        <v>73702</v>
      </c>
      <c r="G273" s="426">
        <v>2211</v>
      </c>
      <c r="H273" s="430"/>
      <c r="I273" s="11"/>
      <c r="J273" s="426">
        <f t="shared" si="30"/>
        <v>71491</v>
      </c>
    </row>
    <row r="274" spans="3:14">
      <c r="C274" s="109">
        <v>45933</v>
      </c>
      <c r="D274" s="11">
        <v>4040</v>
      </c>
      <c r="E274" s="405" t="s">
        <v>677</v>
      </c>
      <c r="F274" s="424">
        <v>59539</v>
      </c>
      <c r="G274" s="426">
        <v>1191</v>
      </c>
      <c r="H274" s="430"/>
      <c r="I274" s="11"/>
      <c r="J274" s="426">
        <f t="shared" si="30"/>
        <v>58348</v>
      </c>
    </row>
    <row r="275" spans="3:14">
      <c r="C275" s="109">
        <v>45934</v>
      </c>
      <c r="D275" s="11">
        <v>4050</v>
      </c>
      <c r="E275" s="405" t="s">
        <v>1254</v>
      </c>
      <c r="F275" s="424">
        <v>5915</v>
      </c>
      <c r="G275" s="426">
        <v>118</v>
      </c>
      <c r="H275" s="430"/>
      <c r="I275" s="11"/>
      <c r="J275" s="426">
        <f t="shared" si="30"/>
        <v>5797</v>
      </c>
    </row>
    <row r="276" spans="3:14">
      <c r="C276" s="109">
        <v>45934</v>
      </c>
      <c r="D276" s="11">
        <v>4060</v>
      </c>
      <c r="E276" s="405" t="s">
        <v>1255</v>
      </c>
      <c r="F276" s="424">
        <v>3681</v>
      </c>
      <c r="G276" s="427">
        <v>0</v>
      </c>
      <c r="H276" s="430"/>
      <c r="I276" s="11"/>
      <c r="J276" s="426">
        <f t="shared" si="30"/>
        <v>3681</v>
      </c>
    </row>
    <row r="277" spans="3:14">
      <c r="C277" s="109">
        <v>45934</v>
      </c>
      <c r="D277" s="11">
        <v>4070</v>
      </c>
      <c r="E277" s="405" t="s">
        <v>1256</v>
      </c>
      <c r="F277" s="424">
        <v>2773</v>
      </c>
      <c r="G277" s="427">
        <v>0</v>
      </c>
      <c r="H277" s="430"/>
      <c r="I277" s="11"/>
      <c r="J277" s="426">
        <f t="shared" si="30"/>
        <v>2773</v>
      </c>
    </row>
    <row r="278" spans="3:14">
      <c r="C278" s="109">
        <v>45934</v>
      </c>
      <c r="D278" s="11">
        <v>4080</v>
      </c>
      <c r="E278" s="405" t="s">
        <v>1257</v>
      </c>
      <c r="F278" s="424">
        <v>11045</v>
      </c>
      <c r="G278" s="426">
        <v>220</v>
      </c>
      <c r="H278" s="430"/>
      <c r="I278" s="11"/>
      <c r="J278" s="426">
        <f t="shared" si="30"/>
        <v>10825</v>
      </c>
    </row>
    <row r="279" spans="3:14">
      <c r="C279" s="109">
        <v>45934</v>
      </c>
      <c r="D279" s="11">
        <v>4090</v>
      </c>
      <c r="E279" s="405" t="s">
        <v>312</v>
      </c>
      <c r="F279" s="424">
        <v>29523</v>
      </c>
      <c r="G279" s="427">
        <v>0</v>
      </c>
      <c r="H279" s="430"/>
      <c r="I279" s="11"/>
      <c r="J279" s="426">
        <f t="shared" si="30"/>
        <v>29523</v>
      </c>
    </row>
    <row r="280" spans="3:14">
      <c r="C280" s="109">
        <v>45934</v>
      </c>
      <c r="D280" s="11">
        <v>4100</v>
      </c>
      <c r="E280" s="405" t="s">
        <v>1258</v>
      </c>
      <c r="F280" s="424">
        <v>27608</v>
      </c>
      <c r="G280" s="426">
        <v>552</v>
      </c>
      <c r="H280" s="430"/>
      <c r="I280" s="11"/>
      <c r="J280" s="426">
        <f t="shared" si="30"/>
        <v>27056</v>
      </c>
    </row>
    <row r="281" spans="3:14">
      <c r="C281" s="109">
        <v>45934</v>
      </c>
      <c r="D281" s="11">
        <v>4110</v>
      </c>
      <c r="E281" s="405" t="s">
        <v>1259</v>
      </c>
      <c r="F281" s="424">
        <v>290302</v>
      </c>
      <c r="G281" s="428">
        <v>8709</v>
      </c>
      <c r="H281" s="95">
        <v>5806</v>
      </c>
      <c r="I281" s="11"/>
      <c r="J281" s="426">
        <f t="shared" si="30"/>
        <v>275787</v>
      </c>
    </row>
    <row r="282" spans="3:14">
      <c r="C282" s="109">
        <v>45934</v>
      </c>
      <c r="D282" s="11">
        <v>4130</v>
      </c>
      <c r="E282" s="405" t="s">
        <v>406</v>
      </c>
      <c r="F282" s="424">
        <v>15967</v>
      </c>
      <c r="G282" s="427">
        <v>0</v>
      </c>
      <c r="H282" s="430"/>
      <c r="I282" s="11"/>
      <c r="J282" s="426">
        <f>+F282-G282-H282</f>
        <v>15967</v>
      </c>
    </row>
    <row r="283" spans="3:14">
      <c r="C283" s="109">
        <v>45936</v>
      </c>
      <c r="D283" s="11">
        <v>4140</v>
      </c>
      <c r="E283" s="405" t="s">
        <v>506</v>
      </c>
      <c r="F283" s="424">
        <v>27647</v>
      </c>
      <c r="G283" s="426">
        <v>414</v>
      </c>
      <c r="H283" s="430"/>
      <c r="I283" s="11"/>
      <c r="J283" s="426">
        <f t="shared" ref="J283:J292" si="31">+F283-G283-H283</f>
        <v>27233</v>
      </c>
    </row>
    <row r="284" spans="3:14">
      <c r="C284" s="109">
        <v>45936</v>
      </c>
      <c r="D284" s="11">
        <v>4150</v>
      </c>
      <c r="E284" s="405" t="s">
        <v>1260</v>
      </c>
      <c r="F284" s="424">
        <v>12641</v>
      </c>
      <c r="G284" s="427">
        <v>0</v>
      </c>
      <c r="H284" s="430"/>
      <c r="I284" s="11"/>
      <c r="J284" s="426">
        <f t="shared" si="31"/>
        <v>12641</v>
      </c>
    </row>
    <row r="285" spans="3:14">
      <c r="C285" s="109">
        <v>45936</v>
      </c>
      <c r="D285" s="11">
        <v>4160</v>
      </c>
      <c r="E285" s="405" t="s">
        <v>1261</v>
      </c>
      <c r="F285" s="424">
        <v>11079</v>
      </c>
      <c r="G285" s="426">
        <v>332</v>
      </c>
      <c r="H285" s="430"/>
      <c r="I285" s="11"/>
      <c r="J285" s="426">
        <f t="shared" si="31"/>
        <v>10747</v>
      </c>
    </row>
    <row r="286" spans="3:14">
      <c r="C286" s="109">
        <v>45936</v>
      </c>
      <c r="D286" s="11">
        <v>4170</v>
      </c>
      <c r="E286" s="405" t="s">
        <v>1262</v>
      </c>
      <c r="F286" s="424">
        <v>41367</v>
      </c>
      <c r="G286" s="426">
        <v>827</v>
      </c>
      <c r="H286" s="430"/>
      <c r="I286" s="11"/>
      <c r="J286" s="426">
        <f t="shared" si="31"/>
        <v>40540</v>
      </c>
      <c r="M286" s="454">
        <v>827</v>
      </c>
      <c r="N286" s="163" t="s">
        <v>128</v>
      </c>
    </row>
    <row r="287" spans="3:14">
      <c r="C287" s="109">
        <v>45936</v>
      </c>
      <c r="D287" s="11">
        <v>4180</v>
      </c>
      <c r="E287" s="405" t="s">
        <v>1263</v>
      </c>
      <c r="F287" s="424">
        <v>7364</v>
      </c>
      <c r="G287" s="427">
        <v>0</v>
      </c>
      <c r="H287" s="430"/>
      <c r="I287" s="11"/>
      <c r="J287" s="426">
        <f t="shared" si="31"/>
        <v>7364</v>
      </c>
    </row>
    <row r="288" spans="3:14">
      <c r="C288" s="109">
        <v>45936</v>
      </c>
      <c r="D288" s="11">
        <v>4190</v>
      </c>
      <c r="E288" s="405" t="s">
        <v>233</v>
      </c>
      <c r="F288" s="424">
        <v>67294</v>
      </c>
      <c r="G288" s="427">
        <v>0</v>
      </c>
      <c r="H288" s="430"/>
      <c r="I288" s="11"/>
      <c r="J288" s="426">
        <f t="shared" si="31"/>
        <v>67294</v>
      </c>
      <c r="L288" s="44">
        <v>2019</v>
      </c>
    </row>
    <row r="289" spans="3:14">
      <c r="C289" s="109">
        <v>45936</v>
      </c>
      <c r="D289" s="11">
        <v>4200</v>
      </c>
      <c r="E289" s="405" t="s">
        <v>1264</v>
      </c>
      <c r="F289" s="424">
        <v>60042</v>
      </c>
      <c r="G289" s="426">
        <v>1801</v>
      </c>
      <c r="H289" s="430"/>
      <c r="I289" s="11"/>
      <c r="J289" s="426">
        <f t="shared" si="31"/>
        <v>58241</v>
      </c>
      <c r="K289">
        <v>0</v>
      </c>
    </row>
    <row r="290" spans="3:14">
      <c r="C290" s="109">
        <v>45939</v>
      </c>
      <c r="D290" s="11">
        <v>4220</v>
      </c>
      <c r="E290" s="405" t="s">
        <v>34</v>
      </c>
      <c r="F290" s="424">
        <v>109258</v>
      </c>
      <c r="G290" s="426">
        <v>3278</v>
      </c>
      <c r="H290" s="430"/>
      <c r="I290" s="11"/>
      <c r="J290" s="426">
        <f t="shared" si="31"/>
        <v>105980</v>
      </c>
    </row>
    <row r="291" spans="3:14">
      <c r="C291" s="109">
        <v>45939</v>
      </c>
      <c r="D291" s="11">
        <v>4270</v>
      </c>
      <c r="E291" s="405" t="s">
        <v>1252</v>
      </c>
      <c r="F291" s="424">
        <v>15774</v>
      </c>
      <c r="G291" s="427">
        <v>0</v>
      </c>
      <c r="H291" s="430"/>
      <c r="I291" s="11"/>
      <c r="J291" s="426">
        <f t="shared" si="31"/>
        <v>15774</v>
      </c>
    </row>
    <row r="292" spans="3:14">
      <c r="C292" s="109">
        <v>45939</v>
      </c>
      <c r="D292" s="11">
        <v>4280</v>
      </c>
      <c r="E292" s="405" t="s">
        <v>1250</v>
      </c>
      <c r="F292" s="424">
        <v>42365</v>
      </c>
      <c r="G292" s="426">
        <v>847</v>
      </c>
      <c r="H292" s="430"/>
      <c r="I292" s="11"/>
      <c r="J292" s="426">
        <f t="shared" si="31"/>
        <v>41518</v>
      </c>
    </row>
    <row r="293" spans="3:14">
      <c r="C293" s="109">
        <v>45939</v>
      </c>
      <c r="D293" s="11">
        <v>4260</v>
      </c>
      <c r="E293" s="405" t="s">
        <v>476</v>
      </c>
      <c r="F293" s="424">
        <v>66050</v>
      </c>
      <c r="G293" s="426">
        <v>1981</v>
      </c>
      <c r="H293" s="430"/>
      <c r="I293" s="11"/>
      <c r="J293" s="426">
        <f>+F293-G293-H293</f>
        <v>64069</v>
      </c>
    </row>
    <row r="294" spans="3:14">
      <c r="C294" s="109">
        <v>45939</v>
      </c>
      <c r="D294" s="11">
        <v>4210</v>
      </c>
      <c r="E294" s="405" t="s">
        <v>1265</v>
      </c>
      <c r="F294" s="424">
        <v>12039</v>
      </c>
      <c r="G294" s="426">
        <v>240</v>
      </c>
      <c r="H294" s="430"/>
      <c r="I294" s="11"/>
      <c r="J294" s="426">
        <f t="shared" ref="J294:J309" si="32">+F294-G294-H294</f>
        <v>11799</v>
      </c>
    </row>
    <row r="295" spans="3:14">
      <c r="C295" s="109">
        <v>45939</v>
      </c>
      <c r="D295" s="11">
        <v>4230</v>
      </c>
      <c r="E295" s="405" t="s">
        <v>1248</v>
      </c>
      <c r="F295" s="424">
        <v>22012</v>
      </c>
      <c r="G295" s="426">
        <v>440</v>
      </c>
      <c r="H295" s="430"/>
      <c r="I295" s="11"/>
      <c r="J295" s="426">
        <f t="shared" si="32"/>
        <v>21572</v>
      </c>
    </row>
    <row r="296" spans="3:14">
      <c r="C296" s="109">
        <v>45939</v>
      </c>
      <c r="D296" s="11">
        <v>4240</v>
      </c>
      <c r="E296" s="405" t="s">
        <v>138</v>
      </c>
      <c r="F296" s="424">
        <v>56809</v>
      </c>
      <c r="G296" s="426">
        <v>1159</v>
      </c>
      <c r="H296" s="430"/>
      <c r="I296" s="11"/>
      <c r="J296" s="426">
        <f t="shared" si="32"/>
        <v>55650</v>
      </c>
    </row>
    <row r="297" spans="3:14">
      <c r="C297" s="109">
        <v>45940</v>
      </c>
      <c r="D297" s="11">
        <v>4300</v>
      </c>
      <c r="E297" s="405" t="s">
        <v>222</v>
      </c>
      <c r="F297" s="424">
        <v>21669</v>
      </c>
      <c r="G297" s="426">
        <v>433</v>
      </c>
      <c r="H297" s="430"/>
      <c r="I297" s="11"/>
      <c r="J297" s="426">
        <f t="shared" si="32"/>
        <v>21236</v>
      </c>
      <c r="M297" s="44">
        <v>433</v>
      </c>
      <c r="N297" s="163" t="s">
        <v>128</v>
      </c>
    </row>
    <row r="298" spans="3:14">
      <c r="C298" s="109">
        <v>45940</v>
      </c>
      <c r="D298" s="11">
        <v>4330</v>
      </c>
      <c r="E298" s="405" t="s">
        <v>195</v>
      </c>
      <c r="F298" s="424">
        <v>104814</v>
      </c>
      <c r="G298" s="426">
        <v>3145</v>
      </c>
      <c r="H298" s="430"/>
      <c r="I298" s="11"/>
      <c r="J298" s="426">
        <f t="shared" si="32"/>
        <v>101669</v>
      </c>
    </row>
    <row r="299" spans="3:14">
      <c r="C299" s="109">
        <v>45940</v>
      </c>
      <c r="D299" s="11">
        <v>4290</v>
      </c>
      <c r="E299" s="405" t="s">
        <v>90</v>
      </c>
      <c r="F299" s="424">
        <v>22902</v>
      </c>
      <c r="G299" s="426">
        <v>2342</v>
      </c>
      <c r="H299" s="430"/>
      <c r="I299" s="11"/>
      <c r="J299" s="426">
        <f t="shared" si="32"/>
        <v>20560</v>
      </c>
    </row>
    <row r="300" spans="3:14">
      <c r="C300" s="109">
        <v>45940</v>
      </c>
      <c r="D300" s="11">
        <v>4340</v>
      </c>
      <c r="E300" s="405" t="s">
        <v>35</v>
      </c>
      <c r="F300" s="424">
        <v>124771</v>
      </c>
      <c r="G300" s="426">
        <v>3751</v>
      </c>
      <c r="H300" s="430"/>
      <c r="I300" s="11"/>
      <c r="J300" s="426">
        <f t="shared" si="32"/>
        <v>121020</v>
      </c>
    </row>
    <row r="301" spans="3:14">
      <c r="C301" s="109">
        <v>45940</v>
      </c>
      <c r="D301" s="11">
        <v>4360</v>
      </c>
      <c r="E301" s="405" t="s">
        <v>1266</v>
      </c>
      <c r="F301" s="424">
        <v>171918</v>
      </c>
      <c r="G301" s="426">
        <v>5158</v>
      </c>
      <c r="H301" s="430"/>
      <c r="I301" s="11"/>
      <c r="J301" s="426">
        <f t="shared" si="32"/>
        <v>166760</v>
      </c>
    </row>
    <row r="302" spans="3:14">
      <c r="C302" s="109">
        <v>45940</v>
      </c>
      <c r="D302" s="11">
        <v>4310</v>
      </c>
      <c r="E302" s="405" t="s">
        <v>820</v>
      </c>
      <c r="F302" s="424">
        <v>81849</v>
      </c>
      <c r="G302" s="426">
        <v>2455</v>
      </c>
      <c r="H302" s="430"/>
      <c r="I302" s="11"/>
      <c r="J302" s="426">
        <f t="shared" si="32"/>
        <v>79394</v>
      </c>
    </row>
    <row r="303" spans="3:14">
      <c r="C303" s="109">
        <v>45940</v>
      </c>
      <c r="D303" s="11">
        <v>4350</v>
      </c>
      <c r="E303" s="405" t="s">
        <v>1253</v>
      </c>
      <c r="F303" s="424">
        <v>34094</v>
      </c>
      <c r="G303" s="426">
        <v>1022</v>
      </c>
      <c r="H303" s="430"/>
      <c r="I303" s="11"/>
      <c r="J303" s="426">
        <f t="shared" si="32"/>
        <v>33072</v>
      </c>
    </row>
    <row r="304" spans="3:14">
      <c r="C304" s="109">
        <v>45941</v>
      </c>
      <c r="D304" s="11">
        <v>4380</v>
      </c>
      <c r="E304" s="405" t="s">
        <v>312</v>
      </c>
      <c r="F304" s="424">
        <v>15020</v>
      </c>
      <c r="G304" s="426">
        <v>450</v>
      </c>
      <c r="H304" s="430"/>
      <c r="I304" s="11"/>
      <c r="J304" s="426">
        <f t="shared" si="32"/>
        <v>14570</v>
      </c>
      <c r="M304" s="44">
        <v>450</v>
      </c>
      <c r="N304" s="163" t="s">
        <v>128</v>
      </c>
    </row>
    <row r="305" spans="3:14">
      <c r="C305" s="109">
        <v>45941</v>
      </c>
      <c r="D305" s="11">
        <v>4390</v>
      </c>
      <c r="E305" s="405" t="s">
        <v>1238</v>
      </c>
      <c r="F305" s="424">
        <v>92147</v>
      </c>
      <c r="G305" s="427">
        <v>0</v>
      </c>
      <c r="H305" s="430"/>
      <c r="I305" s="11"/>
      <c r="J305" s="426">
        <f t="shared" si="32"/>
        <v>92147</v>
      </c>
    </row>
    <row r="306" spans="3:14">
      <c r="C306" s="109">
        <v>45941</v>
      </c>
      <c r="D306" s="11">
        <v>4440</v>
      </c>
      <c r="E306" s="405" t="s">
        <v>406</v>
      </c>
      <c r="F306" s="424">
        <v>100432</v>
      </c>
      <c r="G306" s="426">
        <v>3013</v>
      </c>
      <c r="H306" s="430"/>
      <c r="I306" s="11"/>
      <c r="J306" s="426">
        <f t="shared" si="32"/>
        <v>97419</v>
      </c>
    </row>
    <row r="307" spans="3:14">
      <c r="C307" s="109">
        <v>45941</v>
      </c>
      <c r="D307" s="11">
        <v>4450</v>
      </c>
      <c r="E307" s="405" t="s">
        <v>155</v>
      </c>
      <c r="F307" s="96">
        <v>466463</v>
      </c>
      <c r="G307" s="426">
        <v>13994</v>
      </c>
      <c r="H307" s="430">
        <v>9329</v>
      </c>
      <c r="I307" s="11"/>
      <c r="J307" s="426">
        <f t="shared" si="32"/>
        <v>443140</v>
      </c>
    </row>
    <row r="308" spans="3:14">
      <c r="C308" s="109">
        <v>45943</v>
      </c>
      <c r="D308" s="11">
        <v>4470</v>
      </c>
      <c r="E308" s="405" t="s">
        <v>1262</v>
      </c>
      <c r="F308" s="424">
        <v>19280</v>
      </c>
      <c r="G308" s="426">
        <v>578</v>
      </c>
      <c r="H308" s="430"/>
      <c r="I308" s="11"/>
      <c r="J308" s="426">
        <f t="shared" si="32"/>
        <v>18702</v>
      </c>
      <c r="M308" s="44">
        <v>578</v>
      </c>
      <c r="N308" s="163" t="s">
        <v>128</v>
      </c>
    </row>
    <row r="309" spans="3:14">
      <c r="C309" s="109">
        <v>45943</v>
      </c>
      <c r="D309" s="11">
        <v>4480</v>
      </c>
      <c r="E309" s="405" t="s">
        <v>1262</v>
      </c>
      <c r="F309" s="424">
        <v>12824</v>
      </c>
      <c r="G309" s="426">
        <v>256</v>
      </c>
      <c r="H309" s="430"/>
      <c r="I309" s="11"/>
      <c r="J309" s="426">
        <f t="shared" si="32"/>
        <v>12568</v>
      </c>
      <c r="M309" s="444">
        <v>256</v>
      </c>
      <c r="N309" s="163" t="s">
        <v>128</v>
      </c>
    </row>
    <row r="310" spans="3:14">
      <c r="C310" s="109">
        <v>45943</v>
      </c>
      <c r="D310" s="11">
        <v>4490</v>
      </c>
      <c r="E310" s="405" t="s">
        <v>1263</v>
      </c>
      <c r="F310" s="424">
        <v>18237</v>
      </c>
      <c r="G310" s="426">
        <v>365</v>
      </c>
      <c r="H310" s="430"/>
      <c r="I310" s="11"/>
      <c r="J310" s="426">
        <f>+F310-G310-H310</f>
        <v>17872</v>
      </c>
    </row>
    <row r="311" spans="3:14">
      <c r="C311" s="109">
        <v>45943</v>
      </c>
      <c r="D311" s="11">
        <v>4500</v>
      </c>
      <c r="E311" s="405" t="s">
        <v>149</v>
      </c>
      <c r="F311" s="424">
        <v>71888</v>
      </c>
      <c r="G311" s="426">
        <v>1438</v>
      </c>
      <c r="H311" s="430"/>
      <c r="I311" s="11"/>
      <c r="J311" s="426">
        <f t="shared" ref="J311:J320" si="33">+F311-G311-H311</f>
        <v>70450</v>
      </c>
    </row>
    <row r="312" spans="3:14">
      <c r="C312" s="109">
        <v>45946</v>
      </c>
      <c r="D312" s="11">
        <v>4570</v>
      </c>
      <c r="E312" s="405" t="s">
        <v>138</v>
      </c>
      <c r="F312" s="424">
        <v>25593</v>
      </c>
      <c r="G312" s="426">
        <v>511</v>
      </c>
      <c r="H312" s="430"/>
      <c r="I312" s="11"/>
      <c r="J312" s="426">
        <f t="shared" si="33"/>
        <v>25082</v>
      </c>
    </row>
    <row r="313" spans="3:14">
      <c r="C313" s="109">
        <v>45946</v>
      </c>
      <c r="D313" s="11">
        <v>4580</v>
      </c>
      <c r="E313" s="405" t="s">
        <v>335</v>
      </c>
      <c r="F313" s="424">
        <v>10082</v>
      </c>
      <c r="G313" s="426"/>
      <c r="H313" s="430"/>
      <c r="I313" s="11"/>
      <c r="J313" s="426">
        <f t="shared" si="33"/>
        <v>10082</v>
      </c>
    </row>
    <row r="314" spans="3:14">
      <c r="C314" s="109">
        <v>45946</v>
      </c>
      <c r="D314" s="11">
        <v>4590</v>
      </c>
      <c r="E314" s="405" t="s">
        <v>476</v>
      </c>
      <c r="F314" s="424">
        <v>37748</v>
      </c>
      <c r="G314" s="426">
        <v>1132</v>
      </c>
      <c r="H314" s="430"/>
      <c r="I314" s="11"/>
      <c r="J314" s="426">
        <f t="shared" si="33"/>
        <v>36616</v>
      </c>
    </row>
    <row r="315" spans="3:14">
      <c r="C315" s="109">
        <v>45946</v>
      </c>
      <c r="D315" s="11">
        <v>4600</v>
      </c>
      <c r="E315" s="405" t="s">
        <v>1250</v>
      </c>
      <c r="F315" s="424">
        <v>9302</v>
      </c>
      <c r="G315" s="426">
        <v>186</v>
      </c>
      <c r="H315" s="430"/>
      <c r="I315" s="11"/>
      <c r="J315" s="426">
        <f t="shared" si="33"/>
        <v>9116</v>
      </c>
    </row>
    <row r="316" spans="3:14">
      <c r="C316" s="109">
        <v>45946</v>
      </c>
      <c r="D316" s="11">
        <v>4610</v>
      </c>
      <c r="E316" s="405" t="s">
        <v>855</v>
      </c>
      <c r="F316" s="424">
        <v>108481</v>
      </c>
      <c r="G316" s="426">
        <v>3481</v>
      </c>
      <c r="H316" s="430"/>
      <c r="I316" s="11"/>
      <c r="J316" s="426">
        <f t="shared" si="33"/>
        <v>105000</v>
      </c>
    </row>
    <row r="317" spans="3:14">
      <c r="C317" s="109">
        <v>45946</v>
      </c>
      <c r="D317" s="11">
        <v>4530</v>
      </c>
      <c r="E317" s="405" t="s">
        <v>1267</v>
      </c>
      <c r="F317" s="424">
        <v>24929</v>
      </c>
      <c r="G317" s="427">
        <v>0</v>
      </c>
      <c r="H317" s="430"/>
      <c r="I317" s="11"/>
      <c r="J317" s="426">
        <f t="shared" si="33"/>
        <v>24929</v>
      </c>
    </row>
    <row r="318" spans="3:14">
      <c r="C318" s="109">
        <v>45946</v>
      </c>
      <c r="D318" s="11">
        <v>4550</v>
      </c>
      <c r="E318" s="405" t="s">
        <v>34</v>
      </c>
      <c r="F318" s="424">
        <v>44610</v>
      </c>
      <c r="G318" s="426">
        <v>1338</v>
      </c>
      <c r="H318" s="430"/>
      <c r="I318" s="11"/>
      <c r="J318" s="426">
        <f t="shared" si="33"/>
        <v>43272</v>
      </c>
    </row>
    <row r="319" spans="3:14">
      <c r="C319" s="109">
        <v>45946</v>
      </c>
      <c r="D319" s="11">
        <v>4560</v>
      </c>
      <c r="E319" s="405" t="s">
        <v>213</v>
      </c>
      <c r="F319" s="424">
        <v>38865</v>
      </c>
      <c r="G319" s="426">
        <v>1176</v>
      </c>
      <c r="H319" s="430"/>
      <c r="I319" s="11"/>
      <c r="J319" s="426">
        <f t="shared" si="33"/>
        <v>37689</v>
      </c>
    </row>
    <row r="320" spans="3:14">
      <c r="C320" s="109">
        <v>45946</v>
      </c>
      <c r="D320" s="11">
        <v>4540</v>
      </c>
      <c r="E320" s="405" t="s">
        <v>1248</v>
      </c>
      <c r="F320" s="424">
        <v>31719</v>
      </c>
      <c r="G320" s="426">
        <v>634</v>
      </c>
      <c r="H320" s="430"/>
      <c r="I320" s="11"/>
      <c r="J320" s="426">
        <f t="shared" si="33"/>
        <v>31085</v>
      </c>
    </row>
    <row r="321" spans="3:14">
      <c r="C321" s="109">
        <v>45947</v>
      </c>
      <c r="D321" s="11">
        <v>4640</v>
      </c>
      <c r="E321" s="405" t="s">
        <v>820</v>
      </c>
      <c r="F321" s="424">
        <v>86597</v>
      </c>
      <c r="G321" s="426">
        <v>2597</v>
      </c>
      <c r="H321" s="430"/>
      <c r="I321" s="11"/>
      <c r="J321" s="426">
        <f>+F321-G321-H321</f>
        <v>84000</v>
      </c>
    </row>
    <row r="322" spans="3:14">
      <c r="C322" s="109">
        <v>45947</v>
      </c>
      <c r="D322" s="11">
        <v>4650</v>
      </c>
      <c r="E322" s="405" t="s">
        <v>315</v>
      </c>
      <c r="F322" s="424">
        <v>110252</v>
      </c>
      <c r="G322" s="426">
        <v>3308</v>
      </c>
      <c r="H322" s="430"/>
      <c r="I322" s="11"/>
      <c r="J322" s="426">
        <f t="shared" ref="J322:J331" si="34">+F322-G322-H322</f>
        <v>106944</v>
      </c>
    </row>
    <row r="323" spans="3:14">
      <c r="C323" s="109">
        <v>45947</v>
      </c>
      <c r="D323" s="11">
        <v>4660</v>
      </c>
      <c r="E323" s="405" t="s">
        <v>1266</v>
      </c>
      <c r="F323" s="424">
        <v>122978</v>
      </c>
      <c r="G323" s="426">
        <v>3689</v>
      </c>
      <c r="H323" s="430"/>
      <c r="I323" s="11"/>
      <c r="J323" s="426">
        <f t="shared" si="34"/>
        <v>119289</v>
      </c>
    </row>
    <row r="324" spans="3:14">
      <c r="C324" s="109">
        <v>45947</v>
      </c>
      <c r="D324" s="11">
        <v>4670</v>
      </c>
      <c r="E324" s="405" t="s">
        <v>35</v>
      </c>
      <c r="F324" s="424">
        <v>82655</v>
      </c>
      <c r="G324" s="426">
        <v>2480</v>
      </c>
      <c r="H324" s="430"/>
      <c r="I324" s="11"/>
      <c r="J324" s="426">
        <f t="shared" si="34"/>
        <v>80175</v>
      </c>
    </row>
    <row r="325" spans="3:14">
      <c r="C325" s="109">
        <v>45947</v>
      </c>
      <c r="D325" s="11">
        <v>4680</v>
      </c>
      <c r="E325" s="405" t="s">
        <v>677</v>
      </c>
      <c r="F325" s="424">
        <v>47444</v>
      </c>
      <c r="G325" s="427">
        <v>0</v>
      </c>
      <c r="H325" s="430"/>
      <c r="I325" s="11"/>
      <c r="J325" s="426">
        <f t="shared" si="34"/>
        <v>47444</v>
      </c>
    </row>
    <row r="326" spans="3:14">
      <c r="C326" s="109">
        <v>45947</v>
      </c>
      <c r="D326" s="11">
        <v>4620</v>
      </c>
      <c r="E326" s="405" t="s">
        <v>1259</v>
      </c>
      <c r="F326" s="424">
        <v>790542</v>
      </c>
      <c r="G326" s="426">
        <v>23716</v>
      </c>
      <c r="H326" s="430">
        <v>15810</v>
      </c>
      <c r="I326" s="11"/>
      <c r="J326" s="426">
        <f t="shared" si="34"/>
        <v>751016</v>
      </c>
    </row>
    <row r="327" spans="3:14">
      <c r="C327" s="109">
        <v>45948</v>
      </c>
      <c r="D327" s="11">
        <v>4690</v>
      </c>
      <c r="E327" s="405" t="s">
        <v>406</v>
      </c>
      <c r="F327" s="424">
        <v>81320</v>
      </c>
      <c r="G327" s="426">
        <v>2440</v>
      </c>
      <c r="H327" s="430"/>
      <c r="I327" s="11"/>
      <c r="J327" s="426">
        <f t="shared" si="34"/>
        <v>78880</v>
      </c>
    </row>
    <row r="328" spans="3:14">
      <c r="C328" s="109">
        <v>45948</v>
      </c>
      <c r="D328" s="11">
        <v>7400</v>
      </c>
      <c r="E328" s="405" t="s">
        <v>1281</v>
      </c>
      <c r="F328" s="424">
        <v>5239</v>
      </c>
      <c r="G328" s="426">
        <v>104</v>
      </c>
      <c r="H328" s="430"/>
      <c r="I328" s="11"/>
      <c r="J328" s="426">
        <f t="shared" si="34"/>
        <v>5135</v>
      </c>
    </row>
    <row r="329" spans="3:14">
      <c r="C329" s="109">
        <v>45948</v>
      </c>
      <c r="D329" s="11">
        <v>4710</v>
      </c>
      <c r="E329" s="405" t="s">
        <v>1258</v>
      </c>
      <c r="F329" s="424">
        <v>15575</v>
      </c>
      <c r="G329" s="426">
        <v>311</v>
      </c>
      <c r="H329" s="430"/>
      <c r="I329" s="11"/>
      <c r="J329" s="426">
        <f t="shared" si="34"/>
        <v>15264</v>
      </c>
    </row>
    <row r="330" spans="3:14">
      <c r="C330" s="109">
        <v>45948</v>
      </c>
      <c r="D330" s="11">
        <v>4790</v>
      </c>
      <c r="E330" s="405" t="s">
        <v>149</v>
      </c>
      <c r="F330" s="424">
        <v>18207</v>
      </c>
      <c r="G330" s="427">
        <v>0</v>
      </c>
      <c r="H330" s="430"/>
      <c r="I330" s="11"/>
      <c r="J330" s="426">
        <f t="shared" si="34"/>
        <v>18207</v>
      </c>
    </row>
    <row r="331" spans="3:14">
      <c r="C331" s="109">
        <v>45948</v>
      </c>
      <c r="D331" s="11">
        <v>4780</v>
      </c>
      <c r="E331" s="405" t="s">
        <v>1282</v>
      </c>
      <c r="F331" s="424">
        <v>103014</v>
      </c>
      <c r="G331" s="426">
        <v>3090</v>
      </c>
      <c r="H331" s="430"/>
      <c r="I331" s="11"/>
      <c r="J331" s="426">
        <f t="shared" si="34"/>
        <v>99924</v>
      </c>
    </row>
    <row r="332" spans="3:14">
      <c r="C332" s="109">
        <v>45948</v>
      </c>
      <c r="D332" s="11">
        <v>4800</v>
      </c>
      <c r="E332" s="405" t="s">
        <v>1259</v>
      </c>
      <c r="F332" s="424">
        <v>854049</v>
      </c>
      <c r="G332" s="426">
        <v>25621</v>
      </c>
      <c r="H332" s="430">
        <v>17081</v>
      </c>
      <c r="I332" s="11"/>
      <c r="J332" s="426">
        <f>+F332-G332-H332</f>
        <v>811347</v>
      </c>
    </row>
    <row r="333" spans="3:14">
      <c r="C333" s="109">
        <v>45948</v>
      </c>
      <c r="D333" s="11">
        <v>4770</v>
      </c>
      <c r="E333" s="405" t="s">
        <v>677</v>
      </c>
      <c r="F333" s="424">
        <v>11268</v>
      </c>
      <c r="G333" s="427">
        <v>0</v>
      </c>
      <c r="H333" s="430"/>
      <c r="I333" s="11"/>
      <c r="J333" s="426">
        <f t="shared" ref="J333:J342" si="35">+F333-G333-H333</f>
        <v>11268</v>
      </c>
    </row>
    <row r="334" spans="3:14">
      <c r="C334" s="109">
        <v>45948</v>
      </c>
      <c r="D334" s="11">
        <v>35870</v>
      </c>
      <c r="E334" s="405" t="s">
        <v>1283</v>
      </c>
      <c r="F334" s="424">
        <v>0</v>
      </c>
      <c r="G334" s="426">
        <v>246</v>
      </c>
      <c r="H334" s="430"/>
      <c r="I334" s="11"/>
      <c r="J334" s="426">
        <f t="shared" si="35"/>
        <v>-246</v>
      </c>
      <c r="M334" s="444">
        <v>246</v>
      </c>
      <c r="N334" s="163" t="s">
        <v>128</v>
      </c>
    </row>
    <row r="335" spans="3:14">
      <c r="C335" s="109">
        <v>45948</v>
      </c>
      <c r="D335" s="11">
        <v>4720</v>
      </c>
      <c r="E335" s="405" t="s">
        <v>894</v>
      </c>
      <c r="F335" s="424">
        <v>130001</v>
      </c>
      <c r="G335" s="427">
        <v>3900</v>
      </c>
      <c r="H335" s="430"/>
      <c r="I335" s="11"/>
      <c r="J335" s="426">
        <f t="shared" si="35"/>
        <v>126101</v>
      </c>
    </row>
    <row r="336" spans="3:14">
      <c r="C336" s="109">
        <v>45948</v>
      </c>
      <c r="D336" s="11">
        <v>4730</v>
      </c>
      <c r="E336" s="405" t="s">
        <v>155</v>
      </c>
      <c r="F336" s="424">
        <v>365475</v>
      </c>
      <c r="G336" s="426">
        <v>10970</v>
      </c>
      <c r="H336" s="430">
        <v>3655</v>
      </c>
      <c r="I336" s="11"/>
      <c r="J336" s="426">
        <f t="shared" si="35"/>
        <v>350850</v>
      </c>
    </row>
    <row r="337" spans="3:10">
      <c r="C337" s="109">
        <v>45953</v>
      </c>
      <c r="D337" s="11">
        <v>4920</v>
      </c>
      <c r="E337" s="405" t="s">
        <v>1250</v>
      </c>
      <c r="F337" s="424">
        <v>21564</v>
      </c>
      <c r="G337" s="426">
        <v>1431</v>
      </c>
      <c r="H337" s="430"/>
      <c r="I337" s="11"/>
      <c r="J337" s="426">
        <f t="shared" si="35"/>
        <v>20133</v>
      </c>
    </row>
    <row r="338" spans="3:10">
      <c r="C338" s="109">
        <v>45953</v>
      </c>
      <c r="D338" s="11">
        <v>4890</v>
      </c>
      <c r="E338" s="405" t="s">
        <v>476</v>
      </c>
      <c r="F338" s="424">
        <v>18225</v>
      </c>
      <c r="G338" s="426">
        <v>545</v>
      </c>
      <c r="H338" s="430"/>
      <c r="I338" s="11"/>
      <c r="J338" s="426">
        <f t="shared" si="35"/>
        <v>17680</v>
      </c>
    </row>
    <row r="339" spans="3:10">
      <c r="C339" s="109">
        <v>45953</v>
      </c>
      <c r="D339" s="11">
        <v>4850</v>
      </c>
      <c r="E339" s="405" t="s">
        <v>34</v>
      </c>
      <c r="F339" s="424">
        <v>33765</v>
      </c>
      <c r="G339" s="426">
        <v>675</v>
      </c>
      <c r="H339" s="430"/>
      <c r="I339" s="11"/>
      <c r="J339" s="426">
        <f t="shared" si="35"/>
        <v>33090</v>
      </c>
    </row>
    <row r="340" spans="3:10">
      <c r="C340" s="109">
        <v>45953</v>
      </c>
      <c r="D340" s="11">
        <v>4900</v>
      </c>
      <c r="E340" s="405" t="s">
        <v>312</v>
      </c>
      <c r="F340" s="424">
        <v>93159</v>
      </c>
      <c r="G340" s="426">
        <v>0</v>
      </c>
      <c r="H340" s="430"/>
      <c r="I340" s="11"/>
      <c r="J340" s="426">
        <f t="shared" si="35"/>
        <v>93159</v>
      </c>
    </row>
    <row r="341" spans="3:10">
      <c r="C341" s="109">
        <v>45953</v>
      </c>
      <c r="D341" s="11">
        <v>4840</v>
      </c>
      <c r="E341" s="405" t="s">
        <v>1284</v>
      </c>
      <c r="F341" s="424">
        <v>21652</v>
      </c>
      <c r="G341" s="426">
        <v>433</v>
      </c>
      <c r="H341" s="430"/>
      <c r="I341" s="11"/>
      <c r="J341" s="426">
        <f t="shared" si="35"/>
        <v>21219</v>
      </c>
    </row>
    <row r="342" spans="3:10">
      <c r="C342" s="109">
        <v>45953</v>
      </c>
      <c r="D342" s="11">
        <v>4860</v>
      </c>
      <c r="E342" s="405" t="s">
        <v>1248</v>
      </c>
      <c r="F342" s="424">
        <v>14527</v>
      </c>
      <c r="G342" s="426">
        <v>290</v>
      </c>
      <c r="H342" s="430"/>
      <c r="I342" s="11"/>
      <c r="J342" s="426">
        <f t="shared" si="35"/>
        <v>14237</v>
      </c>
    </row>
    <row r="343" spans="3:10">
      <c r="C343" s="109">
        <v>45953</v>
      </c>
      <c r="D343" s="11">
        <v>4870</v>
      </c>
      <c r="E343" s="405" t="s">
        <v>138</v>
      </c>
      <c r="F343" s="424">
        <v>2202</v>
      </c>
      <c r="G343" s="426">
        <v>44</v>
      </c>
      <c r="H343" s="430"/>
      <c r="I343" s="11"/>
      <c r="J343" s="426">
        <f t="shared" ref="J343" si="36">+F343-G343-H343</f>
        <v>2158</v>
      </c>
    </row>
    <row r="344" spans="3:10">
      <c r="C344" s="109">
        <v>45953</v>
      </c>
      <c r="D344" s="11">
        <v>4880</v>
      </c>
      <c r="E344" s="405" t="s">
        <v>1249</v>
      </c>
      <c r="F344" s="424">
        <v>7025</v>
      </c>
      <c r="G344" s="426">
        <v>140</v>
      </c>
      <c r="H344" s="430"/>
      <c r="I344" s="11"/>
      <c r="J344" s="426">
        <f t="shared" ref="J344:J366" si="37">+F344-G344-H344</f>
        <v>6885</v>
      </c>
    </row>
    <row r="345" spans="3:10">
      <c r="C345" s="109">
        <v>45953</v>
      </c>
      <c r="D345" s="11">
        <v>4910</v>
      </c>
      <c r="E345" s="405" t="s">
        <v>1285</v>
      </c>
      <c r="F345" s="424">
        <v>34357</v>
      </c>
      <c r="G345" s="426">
        <v>1031</v>
      </c>
      <c r="H345" s="430"/>
      <c r="I345" s="11"/>
      <c r="J345" s="426">
        <f t="shared" si="37"/>
        <v>33326</v>
      </c>
    </row>
    <row r="346" spans="3:10">
      <c r="C346" s="109">
        <v>45954</v>
      </c>
      <c r="D346" s="11">
        <v>4930</v>
      </c>
      <c r="E346" s="405" t="s">
        <v>90</v>
      </c>
      <c r="F346" s="424">
        <v>27001</v>
      </c>
      <c r="G346" s="426">
        <v>1001</v>
      </c>
      <c r="H346" s="430"/>
      <c r="I346" s="11"/>
      <c r="J346" s="426">
        <f t="shared" si="37"/>
        <v>26000</v>
      </c>
    </row>
    <row r="347" spans="3:10">
      <c r="C347" s="109">
        <v>45954</v>
      </c>
      <c r="D347" s="11">
        <v>4940</v>
      </c>
      <c r="E347" s="405" t="s">
        <v>222</v>
      </c>
      <c r="F347" s="424">
        <v>55637</v>
      </c>
      <c r="G347" s="426">
        <v>1113</v>
      </c>
      <c r="H347" s="430"/>
      <c r="I347" s="11"/>
      <c r="J347" s="426">
        <f t="shared" si="37"/>
        <v>54524</v>
      </c>
    </row>
    <row r="348" spans="3:10">
      <c r="C348" s="109">
        <v>45954</v>
      </c>
      <c r="D348" s="11">
        <v>4950</v>
      </c>
      <c r="E348" s="405" t="s">
        <v>195</v>
      </c>
      <c r="F348" s="424">
        <v>280408</v>
      </c>
      <c r="G348" s="426">
        <v>7847</v>
      </c>
      <c r="H348" s="430"/>
      <c r="I348" s="11"/>
      <c r="J348" s="426">
        <f t="shared" si="37"/>
        <v>272561</v>
      </c>
    </row>
    <row r="349" spans="3:10">
      <c r="C349" s="109">
        <v>45954</v>
      </c>
      <c r="D349" s="11">
        <v>4960</v>
      </c>
      <c r="E349" s="405" t="s">
        <v>35</v>
      </c>
      <c r="F349" s="424">
        <v>57922</v>
      </c>
      <c r="G349" s="426">
        <v>1738</v>
      </c>
      <c r="H349" s="430"/>
      <c r="I349" s="11"/>
      <c r="J349" s="426">
        <f t="shared" si="37"/>
        <v>56184</v>
      </c>
    </row>
    <row r="350" spans="3:10">
      <c r="C350" s="109">
        <v>45954</v>
      </c>
      <c r="D350" s="11">
        <v>4970</v>
      </c>
      <c r="E350" s="405" t="s">
        <v>1253</v>
      </c>
      <c r="F350" s="424">
        <v>45764</v>
      </c>
      <c r="G350" s="426">
        <v>1765</v>
      </c>
      <c r="H350" s="430"/>
      <c r="I350" s="11"/>
      <c r="J350" s="426">
        <f t="shared" si="37"/>
        <v>43999</v>
      </c>
    </row>
    <row r="351" spans="3:10">
      <c r="C351" s="109">
        <v>45954</v>
      </c>
      <c r="D351" s="11">
        <v>4980</v>
      </c>
      <c r="E351" s="405" t="s">
        <v>820</v>
      </c>
      <c r="F351" s="424">
        <v>5438</v>
      </c>
      <c r="G351" s="426">
        <v>164</v>
      </c>
      <c r="H351" s="430"/>
      <c r="I351" s="11"/>
      <c r="J351" s="426">
        <f t="shared" si="37"/>
        <v>5274</v>
      </c>
    </row>
    <row r="352" spans="3:10">
      <c r="C352" s="109">
        <v>45954</v>
      </c>
      <c r="D352" s="11">
        <v>4990</v>
      </c>
      <c r="E352" s="405" t="s">
        <v>677</v>
      </c>
      <c r="F352" s="424">
        <v>28529</v>
      </c>
      <c r="G352" s="427">
        <v>0</v>
      </c>
      <c r="H352" s="430"/>
      <c r="I352" s="11"/>
      <c r="J352" s="426">
        <f t="shared" si="37"/>
        <v>28529</v>
      </c>
    </row>
    <row r="353" spans="3:12">
      <c r="C353" s="109">
        <v>45955</v>
      </c>
      <c r="D353" s="11">
        <v>5010</v>
      </c>
      <c r="E353" s="405" t="s">
        <v>312</v>
      </c>
      <c r="F353" s="424">
        <v>7165</v>
      </c>
      <c r="G353" s="426">
        <v>145</v>
      </c>
      <c r="H353" s="430"/>
      <c r="I353" s="11"/>
      <c r="J353" s="426">
        <f t="shared" si="37"/>
        <v>7020</v>
      </c>
    </row>
    <row r="354" spans="3:12">
      <c r="C354" s="109">
        <v>45955</v>
      </c>
      <c r="D354" s="11">
        <v>5020</v>
      </c>
      <c r="E354" s="405" t="s">
        <v>1258</v>
      </c>
      <c r="F354" s="424">
        <v>12463</v>
      </c>
      <c r="G354" s="426">
        <v>249</v>
      </c>
      <c r="H354" s="430"/>
      <c r="I354" s="11"/>
      <c r="J354" s="426">
        <f t="shared" si="37"/>
        <v>12214</v>
      </c>
    </row>
    <row r="355" spans="3:12">
      <c r="C355" s="109">
        <v>45955</v>
      </c>
      <c r="D355" s="11">
        <v>5030</v>
      </c>
      <c r="E355" s="405" t="s">
        <v>155</v>
      </c>
      <c r="F355" s="424">
        <v>21724</v>
      </c>
      <c r="G355" s="426">
        <v>651</v>
      </c>
      <c r="H355" s="430"/>
      <c r="I355" s="11"/>
      <c r="J355" s="426">
        <f t="shared" si="37"/>
        <v>21073</v>
      </c>
    </row>
    <row r="356" spans="3:12">
      <c r="C356" s="109">
        <v>45955</v>
      </c>
      <c r="D356" s="11">
        <v>5040</v>
      </c>
      <c r="E356" s="405" t="s">
        <v>1337</v>
      </c>
      <c r="F356" s="424">
        <v>116725</v>
      </c>
      <c r="G356" s="426">
        <v>5836</v>
      </c>
      <c r="H356" s="430"/>
      <c r="I356" s="11"/>
      <c r="J356" s="426">
        <f t="shared" si="37"/>
        <v>110889</v>
      </c>
    </row>
    <row r="357" spans="3:12">
      <c r="C357" s="109">
        <v>45955</v>
      </c>
      <c r="D357" s="11">
        <v>5050</v>
      </c>
      <c r="E357" s="405" t="s">
        <v>406</v>
      </c>
      <c r="F357" s="424">
        <v>103207</v>
      </c>
      <c r="G357" s="426">
        <v>3098</v>
      </c>
      <c r="H357" s="430"/>
      <c r="I357" s="11"/>
      <c r="J357" s="426">
        <f t="shared" si="37"/>
        <v>100109</v>
      </c>
    </row>
    <row r="358" spans="3:12">
      <c r="C358" s="109">
        <v>45955</v>
      </c>
      <c r="D358" s="11">
        <v>5060</v>
      </c>
      <c r="E358" s="405" t="s">
        <v>1259</v>
      </c>
      <c r="F358" s="424">
        <v>1283951</v>
      </c>
      <c r="G358" s="426">
        <v>38522</v>
      </c>
      <c r="H358" s="430">
        <v>25679</v>
      </c>
      <c r="I358" s="11"/>
      <c r="J358" s="426">
        <f t="shared" si="37"/>
        <v>1219750</v>
      </c>
    </row>
    <row r="359" spans="3:12">
      <c r="C359" s="109">
        <v>45957</v>
      </c>
      <c r="D359" s="11">
        <v>5070</v>
      </c>
      <c r="E359" s="405" t="s">
        <v>506</v>
      </c>
      <c r="F359" s="424">
        <v>30412</v>
      </c>
      <c r="G359" s="426">
        <v>608</v>
      </c>
      <c r="H359" s="430"/>
      <c r="I359" s="11"/>
      <c r="J359" s="426">
        <f t="shared" si="37"/>
        <v>29804</v>
      </c>
    </row>
    <row r="360" spans="3:12">
      <c r="C360" s="109">
        <v>45957</v>
      </c>
      <c r="D360" s="11">
        <v>5080</v>
      </c>
      <c r="E360" s="405" t="s">
        <v>1260</v>
      </c>
      <c r="F360" s="424">
        <v>20048</v>
      </c>
      <c r="G360" s="426">
        <v>0</v>
      </c>
      <c r="H360" s="430"/>
      <c r="I360" s="11"/>
      <c r="J360" s="426">
        <f t="shared" si="37"/>
        <v>20048</v>
      </c>
    </row>
    <row r="361" spans="3:12">
      <c r="C361" s="109">
        <v>45957</v>
      </c>
      <c r="D361" s="11">
        <v>5090</v>
      </c>
      <c r="E361" s="405" t="s">
        <v>1262</v>
      </c>
      <c r="F361" s="424">
        <v>39502</v>
      </c>
      <c r="G361" s="426">
        <v>0</v>
      </c>
      <c r="H361" s="430"/>
      <c r="I361" s="11"/>
      <c r="J361" s="426">
        <f t="shared" si="37"/>
        <v>39502</v>
      </c>
    </row>
    <row r="362" spans="3:12">
      <c r="C362" s="109">
        <v>45957</v>
      </c>
      <c r="D362" s="11">
        <v>5100</v>
      </c>
      <c r="E362" s="405" t="s">
        <v>1263</v>
      </c>
      <c r="F362" s="424">
        <v>75570</v>
      </c>
      <c r="G362" s="426"/>
      <c r="H362" s="430"/>
      <c r="I362" s="11"/>
      <c r="J362" s="426">
        <f t="shared" si="37"/>
        <v>75570</v>
      </c>
    </row>
    <row r="363" spans="3:12">
      <c r="C363" s="109">
        <v>45957</v>
      </c>
      <c r="D363" s="11">
        <v>5110</v>
      </c>
      <c r="E363" s="405" t="s">
        <v>149</v>
      </c>
      <c r="F363" s="424">
        <v>25947</v>
      </c>
      <c r="G363" s="426"/>
      <c r="H363" s="430"/>
      <c r="I363" s="11"/>
      <c r="J363" s="426">
        <f t="shared" si="37"/>
        <v>25947</v>
      </c>
    </row>
    <row r="364" spans="3:12">
      <c r="C364" s="109">
        <v>45957</v>
      </c>
      <c r="D364" s="11">
        <v>5120</v>
      </c>
      <c r="E364" s="405" t="s">
        <v>1338</v>
      </c>
      <c r="F364" s="424">
        <v>40822</v>
      </c>
      <c r="G364" s="426"/>
      <c r="H364" s="430"/>
      <c r="I364" s="11"/>
      <c r="J364" s="426">
        <f t="shared" si="37"/>
        <v>40822</v>
      </c>
    </row>
    <row r="365" spans="3:12">
      <c r="C365" s="109">
        <v>45957</v>
      </c>
      <c r="D365" s="11">
        <v>5130</v>
      </c>
      <c r="E365" s="405" t="s">
        <v>1339</v>
      </c>
      <c r="F365" s="424">
        <v>43595</v>
      </c>
      <c r="G365" s="426">
        <v>1308</v>
      </c>
      <c r="H365" s="430"/>
      <c r="I365" s="11"/>
      <c r="J365" s="426">
        <f t="shared" si="37"/>
        <v>42287</v>
      </c>
    </row>
    <row r="366" spans="3:12">
      <c r="C366" s="109">
        <v>45957</v>
      </c>
      <c r="D366" s="11">
        <v>5140</v>
      </c>
      <c r="E366" s="405" t="s">
        <v>108</v>
      </c>
      <c r="F366" s="424">
        <v>421116</v>
      </c>
      <c r="G366" s="426">
        <v>12633</v>
      </c>
      <c r="H366" s="430">
        <v>4211</v>
      </c>
      <c r="I366" s="11"/>
      <c r="J366" s="426">
        <f t="shared" si="37"/>
        <v>404272</v>
      </c>
      <c r="K366">
        <v>0</v>
      </c>
      <c r="L366" s="44">
        <v>0</v>
      </c>
    </row>
    <row r="367" spans="3:12">
      <c r="C367" s="109">
        <v>45960</v>
      </c>
      <c r="D367" s="21">
        <v>5070</v>
      </c>
      <c r="E367" s="413" t="s">
        <v>1362</v>
      </c>
      <c r="F367" s="437">
        <v>34348</v>
      </c>
      <c r="G367" s="429">
        <v>1030</v>
      </c>
      <c r="H367" s="438"/>
      <c r="I367" s="21"/>
      <c r="J367" s="429">
        <f t="shared" ref="J367:J378" si="38">+F367-G367-H367</f>
        <v>33318</v>
      </c>
    </row>
    <row r="368" spans="3:12">
      <c r="C368" s="109">
        <v>45960</v>
      </c>
      <c r="D368" s="11">
        <v>5190</v>
      </c>
      <c r="E368" s="405" t="s">
        <v>1249</v>
      </c>
      <c r="F368" s="424">
        <v>14954</v>
      </c>
      <c r="G368" s="426">
        <v>299</v>
      </c>
      <c r="H368" s="430"/>
      <c r="I368" s="11"/>
      <c r="J368" s="426">
        <f t="shared" si="38"/>
        <v>14655</v>
      </c>
    </row>
    <row r="369" spans="3:15">
      <c r="C369" s="109">
        <v>45960</v>
      </c>
      <c r="D369" s="11">
        <v>5200</v>
      </c>
      <c r="E369" s="405" t="s">
        <v>34</v>
      </c>
      <c r="F369" s="424">
        <v>15179</v>
      </c>
      <c r="G369" s="426">
        <v>304</v>
      </c>
      <c r="H369" s="430"/>
      <c r="I369" s="11"/>
      <c r="J369" s="426">
        <f t="shared" si="38"/>
        <v>14875</v>
      </c>
    </row>
    <row r="370" spans="3:15">
      <c r="C370" s="109">
        <v>45960</v>
      </c>
      <c r="D370" s="11">
        <v>5210</v>
      </c>
      <c r="E370" s="405" t="s">
        <v>1363</v>
      </c>
      <c r="F370" s="424">
        <v>25529</v>
      </c>
      <c r="G370" s="426">
        <v>0</v>
      </c>
      <c r="H370" s="430"/>
      <c r="I370" s="11"/>
      <c r="J370" s="426">
        <f t="shared" si="38"/>
        <v>25529</v>
      </c>
    </row>
    <row r="371" spans="3:15">
      <c r="C371" s="109">
        <v>45960</v>
      </c>
      <c r="D371" s="11">
        <v>5220</v>
      </c>
      <c r="E371" s="405" t="s">
        <v>1363</v>
      </c>
      <c r="F371" s="424">
        <v>18997</v>
      </c>
      <c r="G371" s="426">
        <v>0</v>
      </c>
      <c r="H371" s="430"/>
      <c r="I371" s="11"/>
      <c r="J371" s="426">
        <f t="shared" si="38"/>
        <v>18997</v>
      </c>
    </row>
    <row r="372" spans="3:15">
      <c r="C372" s="109">
        <v>45960</v>
      </c>
      <c r="D372" s="11">
        <v>5230</v>
      </c>
      <c r="E372" s="405" t="s">
        <v>1250</v>
      </c>
      <c r="F372" s="424">
        <v>30157</v>
      </c>
      <c r="G372" s="426">
        <v>905</v>
      </c>
      <c r="H372" s="430"/>
      <c r="I372" s="11"/>
      <c r="J372" s="426">
        <f t="shared" si="38"/>
        <v>29252</v>
      </c>
      <c r="K372">
        <v>0</v>
      </c>
    </row>
    <row r="373" spans="3:15">
      <c r="C373" s="109">
        <v>45960</v>
      </c>
      <c r="D373" s="11">
        <v>5240</v>
      </c>
      <c r="E373" s="405" t="s">
        <v>476</v>
      </c>
      <c r="F373" s="424">
        <v>69259</v>
      </c>
      <c r="G373" s="426">
        <v>2078</v>
      </c>
      <c r="H373" s="430"/>
      <c r="I373" s="11"/>
      <c r="J373" s="426">
        <f t="shared" si="38"/>
        <v>67181</v>
      </c>
      <c r="O373" s="215">
        <v>290000</v>
      </c>
    </row>
    <row r="374" spans="3:15">
      <c r="C374" s="109">
        <v>45960</v>
      </c>
      <c r="D374" s="11">
        <v>5250</v>
      </c>
      <c r="E374" s="405" t="s">
        <v>1364</v>
      </c>
      <c r="F374" s="424">
        <v>70421</v>
      </c>
      <c r="G374" s="426">
        <v>1408</v>
      </c>
      <c r="H374" s="430"/>
      <c r="I374" s="11"/>
      <c r="J374" s="426">
        <f t="shared" si="38"/>
        <v>69013</v>
      </c>
    </row>
    <row r="375" spans="3:15">
      <c r="C375" s="109">
        <v>45960</v>
      </c>
      <c r="D375" s="11">
        <v>5260</v>
      </c>
      <c r="E375" s="405" t="s">
        <v>855</v>
      </c>
      <c r="F375" s="424">
        <v>29341</v>
      </c>
      <c r="G375" s="426">
        <v>880</v>
      </c>
      <c r="H375" s="430"/>
      <c r="I375" s="11"/>
      <c r="J375" s="426">
        <f t="shared" si="38"/>
        <v>28461</v>
      </c>
      <c r="K375">
        <v>0</v>
      </c>
    </row>
    <row r="376" spans="3:15">
      <c r="C376" s="439">
        <v>45901</v>
      </c>
      <c r="D376" s="344">
        <v>2460</v>
      </c>
      <c r="E376" s="440" t="s">
        <v>1339</v>
      </c>
      <c r="F376" s="441">
        <v>55816</v>
      </c>
      <c r="G376" s="442">
        <v>1616</v>
      </c>
      <c r="H376" s="443"/>
      <c r="I376" s="344"/>
      <c r="J376" s="442">
        <f t="shared" si="38"/>
        <v>54200</v>
      </c>
    </row>
    <row r="377" spans="3:15">
      <c r="C377" s="439">
        <v>45885</v>
      </c>
      <c r="D377" s="445" t="s">
        <v>270</v>
      </c>
      <c r="E377" s="440" t="s">
        <v>269</v>
      </c>
      <c r="F377" s="441"/>
      <c r="G377" s="344">
        <v>37605</v>
      </c>
      <c r="H377" s="443"/>
      <c r="I377" s="344"/>
      <c r="J377" s="442">
        <f t="shared" si="38"/>
        <v>-37605</v>
      </c>
    </row>
    <row r="378" spans="3:15">
      <c r="C378" s="447">
        <v>45975</v>
      </c>
      <c r="D378" s="448">
        <v>6000</v>
      </c>
      <c r="E378" s="440" t="s">
        <v>1341</v>
      </c>
      <c r="F378" s="449">
        <v>7263</v>
      </c>
      <c r="G378" s="422">
        <v>220</v>
      </c>
      <c r="H378" s="443"/>
      <c r="I378" s="344"/>
      <c r="J378" s="442">
        <f t="shared" si="38"/>
        <v>7043</v>
      </c>
    </row>
    <row r="385" spans="6:10">
      <c r="F385" s="462"/>
      <c r="G385" s="79"/>
    </row>
    <row r="386" spans="6:10">
      <c r="F386" s="463" t="s">
        <v>130</v>
      </c>
      <c r="G386" s="464">
        <f>SUM(G260:G385)</f>
        <v>352116</v>
      </c>
      <c r="H386" s="452">
        <f>SUM(H260:H385)</f>
        <v>86830</v>
      </c>
      <c r="J386" s="455" t="s">
        <v>131</v>
      </c>
    </row>
    <row r="387" spans="6:10">
      <c r="F387" s="463" t="s">
        <v>1490</v>
      </c>
      <c r="G387" s="455">
        <v>290707</v>
      </c>
    </row>
    <row r="388" spans="6:10">
      <c r="F388" s="465" t="s">
        <v>31</v>
      </c>
      <c r="G388" s="466">
        <v>61412</v>
      </c>
    </row>
    <row r="389" spans="6:10">
      <c r="F389" s="331" t="s">
        <v>1513</v>
      </c>
      <c r="G389" s="51">
        <v>24000</v>
      </c>
    </row>
    <row r="390" spans="6:10">
      <c r="F390" s="331" t="s">
        <v>38</v>
      </c>
      <c r="G390" s="51">
        <v>37412</v>
      </c>
    </row>
    <row r="406" spans="3:10">
      <c r="E406" s="456">
        <v>45962</v>
      </c>
    </row>
    <row r="407" spans="3:10">
      <c r="C407" s="323" t="s">
        <v>0</v>
      </c>
      <c r="D407" s="56" t="s">
        <v>129</v>
      </c>
      <c r="E407" s="136" t="s">
        <v>19</v>
      </c>
      <c r="F407" s="332" t="s">
        <v>2</v>
      </c>
      <c r="G407" s="328" t="s">
        <v>132</v>
      </c>
      <c r="H407" s="325" t="s">
        <v>133</v>
      </c>
      <c r="I407" s="57"/>
      <c r="J407" s="328" t="s">
        <v>136</v>
      </c>
    </row>
    <row r="408" spans="3:10">
      <c r="C408" s="78"/>
      <c r="D408" s="11"/>
      <c r="E408" s="405"/>
      <c r="F408" s="424"/>
      <c r="G408" s="426"/>
      <c r="H408" s="430"/>
      <c r="I408" s="11"/>
      <c r="J408" s="426">
        <f t="shared" ref="J408:J455" si="39">+F408-G408-H408</f>
        <v>0</v>
      </c>
    </row>
    <row r="409" spans="3:10">
      <c r="C409" s="78"/>
      <c r="D409" s="11"/>
      <c r="E409" s="405"/>
      <c r="F409" s="424"/>
      <c r="G409" s="426"/>
      <c r="H409" s="430"/>
      <c r="I409" s="11"/>
      <c r="J409" s="426">
        <f t="shared" si="39"/>
        <v>0</v>
      </c>
    </row>
    <row r="410" spans="3:10">
      <c r="C410" s="78"/>
      <c r="D410" s="11"/>
      <c r="E410" s="405"/>
      <c r="F410" s="424"/>
      <c r="G410" s="426"/>
      <c r="H410" s="430"/>
      <c r="I410" s="11"/>
      <c r="J410" s="426">
        <f t="shared" si="39"/>
        <v>0</v>
      </c>
    </row>
    <row r="411" spans="3:10">
      <c r="C411" s="78"/>
      <c r="D411" s="11"/>
      <c r="E411" s="405"/>
      <c r="F411" s="424"/>
      <c r="G411" s="426"/>
      <c r="H411" s="430"/>
      <c r="I411" s="11"/>
      <c r="J411" s="426">
        <f t="shared" si="39"/>
        <v>0</v>
      </c>
    </row>
    <row r="412" spans="3:10">
      <c r="C412" s="78"/>
      <c r="D412" s="11"/>
      <c r="E412" s="405"/>
      <c r="F412" s="424"/>
      <c r="G412" s="426"/>
      <c r="H412" s="430"/>
      <c r="I412" s="11"/>
      <c r="J412" s="426">
        <f t="shared" si="39"/>
        <v>0</v>
      </c>
    </row>
    <row r="413" spans="3:10">
      <c r="C413" s="78"/>
      <c r="D413" s="11"/>
      <c r="E413" s="405"/>
      <c r="F413" s="424"/>
      <c r="G413" s="426"/>
      <c r="H413" s="430"/>
      <c r="I413" s="11"/>
      <c r="J413" s="426">
        <f t="shared" si="39"/>
        <v>0</v>
      </c>
    </row>
    <row r="414" spans="3:10">
      <c r="C414" s="78"/>
      <c r="D414" s="11"/>
      <c r="E414" s="405"/>
      <c r="F414" s="424"/>
      <c r="G414" s="426"/>
      <c r="H414" s="430"/>
      <c r="I414" s="11"/>
      <c r="J414" s="426">
        <f t="shared" si="39"/>
        <v>0</v>
      </c>
    </row>
    <row r="415" spans="3:10">
      <c r="C415" s="78"/>
      <c r="D415" s="11"/>
      <c r="E415" s="405"/>
      <c r="F415" s="424"/>
      <c r="G415" s="426"/>
      <c r="H415" s="430"/>
      <c r="I415" s="11"/>
      <c r="J415" s="426">
        <f t="shared" si="39"/>
        <v>0</v>
      </c>
    </row>
    <row r="416" spans="3:10">
      <c r="C416" s="78"/>
      <c r="D416" s="11"/>
      <c r="E416" s="405"/>
      <c r="F416" s="424"/>
      <c r="G416" s="426"/>
      <c r="H416" s="430"/>
      <c r="I416" s="11"/>
      <c r="J416" s="426">
        <f t="shared" si="39"/>
        <v>0</v>
      </c>
    </row>
    <row r="417" spans="3:10">
      <c r="C417" s="78"/>
      <c r="D417" s="11"/>
      <c r="E417" s="405"/>
      <c r="F417" s="424"/>
      <c r="G417" s="426"/>
      <c r="H417" s="430"/>
      <c r="I417" s="11"/>
      <c r="J417" s="426">
        <f t="shared" si="39"/>
        <v>0</v>
      </c>
    </row>
    <row r="418" spans="3:10">
      <c r="C418" s="78"/>
      <c r="D418" s="11"/>
      <c r="E418" s="405"/>
      <c r="F418" s="424"/>
      <c r="G418" s="426"/>
      <c r="H418" s="430"/>
      <c r="I418" s="11"/>
      <c r="J418" s="426">
        <f t="shared" si="39"/>
        <v>0</v>
      </c>
    </row>
    <row r="419" spans="3:10">
      <c r="C419" s="78"/>
      <c r="D419" s="11"/>
      <c r="E419" s="405"/>
      <c r="F419" s="424"/>
      <c r="G419" s="426"/>
      <c r="H419" s="430"/>
      <c r="I419" s="11"/>
      <c r="J419" s="426">
        <f t="shared" si="39"/>
        <v>0</v>
      </c>
    </row>
    <row r="420" spans="3:10">
      <c r="C420" s="78"/>
      <c r="D420" s="11"/>
      <c r="E420" s="405"/>
      <c r="F420" s="424"/>
      <c r="G420" s="426"/>
      <c r="H420" s="430"/>
      <c r="I420" s="11"/>
      <c r="J420" s="426">
        <f t="shared" si="39"/>
        <v>0</v>
      </c>
    </row>
    <row r="421" spans="3:10">
      <c r="C421" s="78"/>
      <c r="D421" s="11"/>
      <c r="E421" s="405"/>
      <c r="F421" s="424"/>
      <c r="G421" s="426"/>
      <c r="H421" s="430"/>
      <c r="I421" s="11"/>
      <c r="J421" s="426">
        <f t="shared" si="39"/>
        <v>0</v>
      </c>
    </row>
    <row r="422" spans="3:10">
      <c r="C422" s="78"/>
      <c r="D422" s="11"/>
      <c r="E422" s="405"/>
      <c r="F422" s="424"/>
      <c r="G422" s="426"/>
      <c r="H422" s="430"/>
      <c r="I422" s="11"/>
      <c r="J422" s="426">
        <f t="shared" si="39"/>
        <v>0</v>
      </c>
    </row>
    <row r="423" spans="3:10">
      <c r="C423" s="78"/>
      <c r="D423" s="11"/>
      <c r="E423" s="405"/>
      <c r="F423" s="424"/>
      <c r="G423" s="426"/>
      <c r="H423" s="430"/>
      <c r="I423" s="11"/>
      <c r="J423" s="426">
        <f t="shared" si="39"/>
        <v>0</v>
      </c>
    </row>
    <row r="424" spans="3:10">
      <c r="C424" s="78"/>
      <c r="D424" s="11"/>
      <c r="E424" s="405"/>
      <c r="F424" s="424"/>
      <c r="G424" s="426"/>
      <c r="H424" s="430"/>
      <c r="I424" s="11"/>
      <c r="J424" s="426">
        <f t="shared" si="39"/>
        <v>0</v>
      </c>
    </row>
    <row r="425" spans="3:10">
      <c r="C425" s="78"/>
      <c r="D425" s="11"/>
      <c r="E425" s="405"/>
      <c r="F425" s="424"/>
      <c r="G425" s="426"/>
      <c r="H425" s="430"/>
      <c r="I425" s="11"/>
      <c r="J425" s="426">
        <f t="shared" si="39"/>
        <v>0</v>
      </c>
    </row>
    <row r="426" spans="3:10">
      <c r="C426" s="78"/>
      <c r="D426" s="11"/>
      <c r="E426" s="405"/>
      <c r="F426" s="424"/>
      <c r="G426" s="426"/>
      <c r="H426" s="430"/>
      <c r="I426" s="11"/>
      <c r="J426" s="426">
        <f t="shared" si="39"/>
        <v>0</v>
      </c>
    </row>
    <row r="427" spans="3:10">
      <c r="C427" s="78"/>
      <c r="D427" s="11"/>
      <c r="E427" s="405"/>
      <c r="F427" s="424"/>
      <c r="G427" s="426"/>
      <c r="H427" s="430"/>
      <c r="I427" s="11"/>
      <c r="J427" s="426">
        <f t="shared" si="39"/>
        <v>0</v>
      </c>
    </row>
    <row r="428" spans="3:10">
      <c r="C428" s="78"/>
      <c r="D428" s="11"/>
      <c r="E428" s="405"/>
      <c r="F428" s="424"/>
      <c r="G428" s="426"/>
      <c r="H428" s="430"/>
      <c r="I428" s="11"/>
      <c r="J428" s="426">
        <f t="shared" si="39"/>
        <v>0</v>
      </c>
    </row>
    <row r="429" spans="3:10">
      <c r="C429" s="78"/>
      <c r="D429" s="11"/>
      <c r="E429" s="405"/>
      <c r="F429" s="424"/>
      <c r="G429" s="426"/>
      <c r="H429" s="430"/>
      <c r="I429" s="11"/>
      <c r="J429" s="426">
        <f t="shared" si="39"/>
        <v>0</v>
      </c>
    </row>
    <row r="430" spans="3:10">
      <c r="C430" s="78"/>
      <c r="D430" s="11"/>
      <c r="E430" s="405"/>
      <c r="F430" s="424"/>
      <c r="G430" s="426"/>
      <c r="H430" s="430"/>
      <c r="I430" s="11"/>
      <c r="J430" s="426">
        <f t="shared" si="39"/>
        <v>0</v>
      </c>
    </row>
    <row r="431" spans="3:10">
      <c r="C431" s="78"/>
      <c r="D431" s="11"/>
      <c r="E431" s="405"/>
      <c r="F431" s="424"/>
      <c r="G431" s="426"/>
      <c r="H431" s="430"/>
      <c r="I431" s="11"/>
      <c r="J431" s="426">
        <f t="shared" si="39"/>
        <v>0</v>
      </c>
    </row>
    <row r="432" spans="3:10">
      <c r="C432" s="78"/>
      <c r="D432" s="11"/>
      <c r="E432" s="405"/>
      <c r="F432" s="424"/>
      <c r="G432" s="426"/>
      <c r="H432" s="430"/>
      <c r="I432" s="11"/>
      <c r="J432" s="426">
        <f t="shared" si="39"/>
        <v>0</v>
      </c>
    </row>
    <row r="433" spans="3:10">
      <c r="C433" s="78"/>
      <c r="D433" s="11"/>
      <c r="E433" s="405"/>
      <c r="F433" s="424"/>
      <c r="G433" s="426"/>
      <c r="H433" s="430"/>
      <c r="I433" s="11"/>
      <c r="J433" s="426">
        <f t="shared" si="39"/>
        <v>0</v>
      </c>
    </row>
    <row r="434" spans="3:10">
      <c r="C434" s="78"/>
      <c r="D434" s="11"/>
      <c r="E434" s="405"/>
      <c r="F434" s="424"/>
      <c r="G434" s="426"/>
      <c r="H434" s="430"/>
      <c r="I434" s="11"/>
      <c r="J434" s="426">
        <f t="shared" si="39"/>
        <v>0</v>
      </c>
    </row>
    <row r="435" spans="3:10">
      <c r="C435" s="78"/>
      <c r="D435" s="11"/>
      <c r="E435" s="405"/>
      <c r="F435" s="424"/>
      <c r="G435" s="426"/>
      <c r="H435" s="430"/>
      <c r="I435" s="11"/>
      <c r="J435" s="426">
        <f t="shared" si="39"/>
        <v>0</v>
      </c>
    </row>
    <row r="436" spans="3:10">
      <c r="C436" s="78"/>
      <c r="D436" s="11"/>
      <c r="E436" s="405"/>
      <c r="F436" s="424"/>
      <c r="G436" s="426"/>
      <c r="H436" s="430"/>
      <c r="I436" s="11"/>
      <c r="J436" s="426">
        <f t="shared" si="39"/>
        <v>0</v>
      </c>
    </row>
    <row r="437" spans="3:10">
      <c r="C437" s="78"/>
      <c r="D437" s="11"/>
      <c r="E437" s="405"/>
      <c r="F437" s="424"/>
      <c r="G437" s="426"/>
      <c r="H437" s="430"/>
      <c r="I437" s="11"/>
      <c r="J437" s="426">
        <f t="shared" si="39"/>
        <v>0</v>
      </c>
    </row>
    <row r="438" spans="3:10">
      <c r="C438" s="78"/>
      <c r="D438" s="11"/>
      <c r="E438" s="405"/>
      <c r="F438" s="424"/>
      <c r="G438" s="426"/>
      <c r="H438" s="430"/>
      <c r="I438" s="11"/>
      <c r="J438" s="426">
        <f t="shared" si="39"/>
        <v>0</v>
      </c>
    </row>
    <row r="439" spans="3:10">
      <c r="C439" s="78"/>
      <c r="D439" s="11"/>
      <c r="E439" s="405"/>
      <c r="F439" s="424"/>
      <c r="G439" s="426"/>
      <c r="H439" s="430"/>
      <c r="I439" s="11"/>
      <c r="J439" s="426">
        <f t="shared" si="39"/>
        <v>0</v>
      </c>
    </row>
    <row r="440" spans="3:10">
      <c r="C440" s="78"/>
      <c r="D440" s="11"/>
      <c r="E440" s="405"/>
      <c r="F440" s="424"/>
      <c r="G440" s="426"/>
      <c r="H440" s="430"/>
      <c r="I440" s="11"/>
      <c r="J440" s="426">
        <f t="shared" si="39"/>
        <v>0</v>
      </c>
    </row>
    <row r="441" spans="3:10">
      <c r="C441" s="78"/>
      <c r="D441" s="11"/>
      <c r="E441" s="405"/>
      <c r="F441" s="424"/>
      <c r="G441" s="426"/>
      <c r="H441" s="430"/>
      <c r="I441" s="11"/>
      <c r="J441" s="426">
        <f t="shared" si="39"/>
        <v>0</v>
      </c>
    </row>
    <row r="442" spans="3:10">
      <c r="C442" s="78"/>
      <c r="D442" s="11"/>
      <c r="E442" s="405"/>
      <c r="F442" s="424"/>
      <c r="G442" s="426"/>
      <c r="H442" s="430"/>
      <c r="I442" s="11"/>
      <c r="J442" s="426">
        <f t="shared" si="39"/>
        <v>0</v>
      </c>
    </row>
    <row r="443" spans="3:10">
      <c r="C443" s="78"/>
      <c r="D443" s="11"/>
      <c r="E443" s="405"/>
      <c r="F443" s="424"/>
      <c r="G443" s="426"/>
      <c r="H443" s="430"/>
      <c r="I443" s="11"/>
      <c r="J443" s="426">
        <f t="shared" si="39"/>
        <v>0</v>
      </c>
    </row>
    <row r="444" spans="3:10">
      <c r="C444" s="78"/>
      <c r="D444" s="11"/>
      <c r="E444" s="405"/>
      <c r="F444" s="424"/>
      <c r="G444" s="426"/>
      <c r="H444" s="430"/>
      <c r="I444" s="11"/>
      <c r="J444" s="426">
        <f t="shared" si="39"/>
        <v>0</v>
      </c>
    </row>
    <row r="445" spans="3:10">
      <c r="C445" s="78"/>
      <c r="D445" s="11"/>
      <c r="E445" s="405"/>
      <c r="F445" s="424"/>
      <c r="G445" s="426"/>
      <c r="H445" s="430"/>
      <c r="I445" s="11"/>
      <c r="J445" s="426">
        <f t="shared" si="39"/>
        <v>0</v>
      </c>
    </row>
    <row r="446" spans="3:10">
      <c r="C446" s="78"/>
      <c r="D446" s="11"/>
      <c r="E446" s="405"/>
      <c r="F446" s="424"/>
      <c r="G446" s="426"/>
      <c r="H446" s="430"/>
      <c r="I446" s="11"/>
      <c r="J446" s="426">
        <f t="shared" si="39"/>
        <v>0</v>
      </c>
    </row>
    <row r="447" spans="3:10">
      <c r="C447" s="78"/>
      <c r="D447" s="11"/>
      <c r="E447" s="405"/>
      <c r="F447" s="424"/>
      <c r="G447" s="426"/>
      <c r="H447" s="430"/>
      <c r="I447" s="11"/>
      <c r="J447" s="426">
        <f t="shared" si="39"/>
        <v>0</v>
      </c>
    </row>
    <row r="448" spans="3:10">
      <c r="C448" s="78"/>
      <c r="D448" s="11"/>
      <c r="E448" s="405"/>
      <c r="F448" s="424"/>
      <c r="G448" s="426"/>
      <c r="H448" s="430"/>
      <c r="I448" s="11"/>
      <c r="J448" s="426">
        <f t="shared" si="39"/>
        <v>0</v>
      </c>
    </row>
    <row r="449" spans="3:10">
      <c r="C449" s="78"/>
      <c r="D449" s="11"/>
      <c r="E449" s="405"/>
      <c r="F449" s="424"/>
      <c r="G449" s="426"/>
      <c r="H449" s="430"/>
      <c r="I449" s="11"/>
      <c r="J449" s="426">
        <f t="shared" si="39"/>
        <v>0</v>
      </c>
    </row>
    <row r="450" spans="3:10">
      <c r="C450" s="78"/>
      <c r="D450" s="11"/>
      <c r="E450" s="405"/>
      <c r="F450" s="424"/>
      <c r="G450" s="426"/>
      <c r="H450" s="430"/>
      <c r="I450" s="11"/>
      <c r="J450" s="426">
        <f t="shared" si="39"/>
        <v>0</v>
      </c>
    </row>
    <row r="451" spans="3:10">
      <c r="C451" s="78"/>
      <c r="D451" s="11"/>
      <c r="E451" s="405"/>
      <c r="F451" s="424"/>
      <c r="G451" s="426"/>
      <c r="H451" s="430"/>
      <c r="I451" s="11"/>
      <c r="J451" s="426">
        <f t="shared" si="39"/>
        <v>0</v>
      </c>
    </row>
    <row r="452" spans="3:10">
      <c r="C452" s="78"/>
      <c r="D452" s="11"/>
      <c r="E452" s="405"/>
      <c r="F452" s="424"/>
      <c r="G452" s="426"/>
      <c r="H452" s="430"/>
      <c r="I452" s="11"/>
      <c r="J452" s="426">
        <f t="shared" si="39"/>
        <v>0</v>
      </c>
    </row>
    <row r="453" spans="3:10">
      <c r="C453" s="78"/>
      <c r="D453" s="11"/>
      <c r="E453" s="405"/>
      <c r="F453" s="424"/>
      <c r="G453" s="426"/>
      <c r="H453" s="430"/>
      <c r="I453" s="11"/>
      <c r="J453" s="426">
        <f t="shared" si="39"/>
        <v>0</v>
      </c>
    </row>
    <row r="454" spans="3:10">
      <c r="C454" s="78"/>
      <c r="D454" s="11"/>
      <c r="E454" s="405"/>
      <c r="F454" s="424"/>
      <c r="G454" s="426"/>
      <c r="H454" s="430"/>
      <c r="I454" s="11"/>
      <c r="J454" s="426">
        <f t="shared" si="39"/>
        <v>0</v>
      </c>
    </row>
    <row r="455" spans="3:10">
      <c r="C455" s="78"/>
      <c r="D455" s="11"/>
      <c r="E455" s="405"/>
      <c r="F455" s="424"/>
      <c r="G455" s="426"/>
      <c r="H455" s="430"/>
      <c r="I455" s="11"/>
      <c r="J455" s="426">
        <f t="shared" si="39"/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4:AJ61"/>
  <sheetViews>
    <sheetView topLeftCell="A34" zoomScale="90" zoomScaleNormal="90" workbookViewId="0">
      <selection activeCell="M65" sqref="M65"/>
    </sheetView>
  </sheetViews>
  <sheetFormatPr defaultRowHeight="15"/>
  <cols>
    <col min="2" max="2" width="15.85546875" bestFit="1" customWidth="1"/>
    <col min="3" max="33" width="4.7109375" customWidth="1"/>
    <col min="35" max="35" width="10" bestFit="1" customWidth="1"/>
    <col min="36" max="36" width="15.85546875" bestFit="1" customWidth="1"/>
  </cols>
  <sheetData>
    <row r="4" spans="2:36" ht="15.75" thickBot="1">
      <c r="AI4" s="526" t="s">
        <v>731</v>
      </c>
      <c r="AJ4" s="526"/>
    </row>
    <row r="5" spans="2:36" ht="16.5" thickBot="1">
      <c r="B5" s="253" t="s">
        <v>0</v>
      </c>
      <c r="C5" s="267">
        <v>1</v>
      </c>
      <c r="D5" s="268">
        <v>2</v>
      </c>
      <c r="E5" s="268">
        <v>3</v>
      </c>
      <c r="F5" s="268">
        <v>4</v>
      </c>
      <c r="G5" s="269" t="s">
        <v>642</v>
      </c>
      <c r="H5" s="268">
        <v>6</v>
      </c>
      <c r="I5" s="268">
        <v>7</v>
      </c>
      <c r="J5" s="268">
        <v>8</v>
      </c>
      <c r="K5" s="268">
        <v>9</v>
      </c>
      <c r="L5" s="268">
        <v>10</v>
      </c>
      <c r="M5" s="268">
        <v>11</v>
      </c>
      <c r="N5" s="269" t="s">
        <v>642</v>
      </c>
      <c r="O5" s="268">
        <v>13</v>
      </c>
      <c r="P5" s="268">
        <v>14</v>
      </c>
      <c r="Q5" s="268">
        <v>15</v>
      </c>
      <c r="R5" s="268">
        <v>16</v>
      </c>
      <c r="S5" s="268">
        <v>17</v>
      </c>
      <c r="T5" s="268">
        <v>18</v>
      </c>
      <c r="U5" s="269" t="s">
        <v>642</v>
      </c>
      <c r="V5" s="268">
        <v>20</v>
      </c>
      <c r="W5" s="268">
        <v>21</v>
      </c>
      <c r="X5" s="268">
        <v>22</v>
      </c>
      <c r="Y5" s="268">
        <v>23</v>
      </c>
      <c r="Z5" s="268">
        <v>24</v>
      </c>
      <c r="AA5" s="268">
        <v>25</v>
      </c>
      <c r="AB5" s="269" t="s">
        <v>642</v>
      </c>
      <c r="AC5" s="268">
        <v>27</v>
      </c>
      <c r="AD5" s="268">
        <v>28</v>
      </c>
      <c r="AE5" s="268">
        <v>29</v>
      </c>
      <c r="AF5" s="268">
        <v>30</v>
      </c>
      <c r="AG5" s="279">
        <v>31</v>
      </c>
      <c r="AH5" s="288"/>
      <c r="AI5" s="530" t="s">
        <v>640</v>
      </c>
      <c r="AJ5" s="531"/>
    </row>
    <row r="6" spans="2:36" ht="15.75" customHeight="1">
      <c r="B6" s="254" t="s">
        <v>639</v>
      </c>
      <c r="C6" s="260" t="s">
        <v>697</v>
      </c>
      <c r="D6" s="249" t="s">
        <v>698</v>
      </c>
      <c r="E6" s="249" t="s">
        <v>699</v>
      </c>
      <c r="F6" s="249" t="s">
        <v>700</v>
      </c>
      <c r="G6" s="532" t="s">
        <v>730</v>
      </c>
      <c r="H6" s="249" t="s">
        <v>695</v>
      </c>
      <c r="I6" s="249" t="s">
        <v>696</v>
      </c>
      <c r="J6" s="249" t="s">
        <v>697</v>
      </c>
      <c r="K6" s="249" t="s">
        <v>698</v>
      </c>
      <c r="L6" s="249" t="s">
        <v>699</v>
      </c>
      <c r="M6" s="249" t="s">
        <v>700</v>
      </c>
      <c r="N6" s="532" t="s">
        <v>730</v>
      </c>
      <c r="O6" s="249" t="s">
        <v>695</v>
      </c>
      <c r="P6" s="249" t="s">
        <v>696</v>
      </c>
      <c r="Q6" s="249" t="s">
        <v>697</v>
      </c>
      <c r="R6" s="249" t="s">
        <v>698</v>
      </c>
      <c r="S6" s="249" t="s">
        <v>699</v>
      </c>
      <c r="T6" s="249" t="s">
        <v>700</v>
      </c>
      <c r="U6" s="532" t="s">
        <v>730</v>
      </c>
      <c r="V6" s="249" t="s">
        <v>695</v>
      </c>
      <c r="W6" s="249" t="s">
        <v>696</v>
      </c>
      <c r="X6" s="249" t="s">
        <v>697</v>
      </c>
      <c r="Y6" s="249" t="s">
        <v>698</v>
      </c>
      <c r="Z6" s="249" t="s">
        <v>699</v>
      </c>
      <c r="AA6" s="249" t="s">
        <v>700</v>
      </c>
      <c r="AB6" s="532" t="s">
        <v>730</v>
      </c>
      <c r="AC6" s="249" t="s">
        <v>695</v>
      </c>
      <c r="AD6" s="249" t="s">
        <v>696</v>
      </c>
      <c r="AE6" s="249" t="s">
        <v>697</v>
      </c>
      <c r="AF6" s="249" t="s">
        <v>698</v>
      </c>
      <c r="AG6" s="280" t="s">
        <v>699</v>
      </c>
      <c r="AH6" s="289"/>
      <c r="AI6" s="284"/>
      <c r="AJ6" s="263" t="s">
        <v>639</v>
      </c>
    </row>
    <row r="7" spans="2:36" ht="15.75">
      <c r="B7" s="255" t="s">
        <v>630</v>
      </c>
      <c r="C7" s="261">
        <v>1</v>
      </c>
      <c r="D7" s="262">
        <v>1</v>
      </c>
      <c r="E7" s="262">
        <v>1</v>
      </c>
      <c r="F7" s="262">
        <v>1</v>
      </c>
      <c r="G7" s="533"/>
      <c r="H7" s="262">
        <v>1</v>
      </c>
      <c r="I7" s="262">
        <v>1</v>
      </c>
      <c r="J7" s="262">
        <v>1</v>
      </c>
      <c r="K7" s="262">
        <v>1</v>
      </c>
      <c r="L7" s="262">
        <v>1</v>
      </c>
      <c r="M7" s="262">
        <v>1</v>
      </c>
      <c r="N7" s="533"/>
      <c r="O7" s="262">
        <v>1</v>
      </c>
      <c r="P7" s="262">
        <v>1</v>
      </c>
      <c r="Q7" s="262">
        <v>1</v>
      </c>
      <c r="R7" s="262">
        <v>1</v>
      </c>
      <c r="S7" s="262">
        <v>1</v>
      </c>
      <c r="T7" s="262">
        <v>1</v>
      </c>
      <c r="U7" s="533"/>
      <c r="V7" s="262">
        <v>1</v>
      </c>
      <c r="W7" s="262">
        <v>1</v>
      </c>
      <c r="X7" s="262">
        <v>1</v>
      </c>
      <c r="Y7" s="262">
        <v>1</v>
      </c>
      <c r="Z7" s="262">
        <v>1</v>
      </c>
      <c r="AA7" s="262">
        <v>1</v>
      </c>
      <c r="AB7" s="533"/>
      <c r="AC7" s="262">
        <v>1</v>
      </c>
      <c r="AD7" s="262">
        <v>1</v>
      </c>
      <c r="AE7" s="262">
        <v>1</v>
      </c>
      <c r="AF7" s="262">
        <v>1</v>
      </c>
      <c r="AG7" s="278">
        <v>1</v>
      </c>
      <c r="AH7" s="290"/>
      <c r="AI7" s="285">
        <f>SUM(C7:AH7)</f>
        <v>27</v>
      </c>
      <c r="AJ7" s="264" t="s">
        <v>630</v>
      </c>
    </row>
    <row r="8" spans="2:36" ht="15.75">
      <c r="B8" s="255" t="s">
        <v>631</v>
      </c>
      <c r="C8" s="261">
        <v>1</v>
      </c>
      <c r="D8" s="262">
        <v>1</v>
      </c>
      <c r="E8" s="262">
        <v>1</v>
      </c>
      <c r="F8" s="262">
        <v>1</v>
      </c>
      <c r="G8" s="533"/>
      <c r="H8" s="262">
        <v>1</v>
      </c>
      <c r="I8" s="262">
        <v>1</v>
      </c>
      <c r="J8" s="262">
        <v>1</v>
      </c>
      <c r="K8" s="262">
        <v>1</v>
      </c>
      <c r="L8" s="262">
        <v>1</v>
      </c>
      <c r="M8" s="262">
        <v>1</v>
      </c>
      <c r="N8" s="533"/>
      <c r="O8" s="262">
        <v>1</v>
      </c>
      <c r="P8" s="262">
        <v>1</v>
      </c>
      <c r="Q8" s="262">
        <v>1</v>
      </c>
      <c r="R8" s="262">
        <v>1</v>
      </c>
      <c r="S8" s="262">
        <v>1</v>
      </c>
      <c r="T8" s="262">
        <v>1</v>
      </c>
      <c r="U8" s="533"/>
      <c r="V8" s="262">
        <v>1</v>
      </c>
      <c r="W8" s="262">
        <v>1</v>
      </c>
      <c r="X8" s="262">
        <v>1</v>
      </c>
      <c r="Y8" s="262">
        <v>1</v>
      </c>
      <c r="Z8" s="262">
        <v>1</v>
      </c>
      <c r="AA8" s="262">
        <v>1</v>
      </c>
      <c r="AB8" s="533"/>
      <c r="AC8" s="262">
        <v>1</v>
      </c>
      <c r="AD8" s="262">
        <v>1</v>
      </c>
      <c r="AE8" s="262">
        <v>1</v>
      </c>
      <c r="AF8" s="262">
        <v>1</v>
      </c>
      <c r="AG8" s="278">
        <v>1</v>
      </c>
      <c r="AH8" s="290"/>
      <c r="AI8" s="285">
        <f>SUM(C8:AH8)</f>
        <v>27</v>
      </c>
      <c r="AJ8" s="264" t="s">
        <v>631</v>
      </c>
    </row>
    <row r="9" spans="2:36" ht="15.75">
      <c r="B9" s="255" t="s">
        <v>632</v>
      </c>
      <c r="C9" s="261">
        <v>1</v>
      </c>
      <c r="D9" s="262">
        <v>1</v>
      </c>
      <c r="E9" s="262">
        <v>1</v>
      </c>
      <c r="F9" s="262">
        <v>1</v>
      </c>
      <c r="G9" s="533"/>
      <c r="H9" s="262">
        <v>1</v>
      </c>
      <c r="I9" s="262">
        <v>1</v>
      </c>
      <c r="J9" s="262">
        <v>1</v>
      </c>
      <c r="K9" s="262">
        <v>1</v>
      </c>
      <c r="L9" s="262">
        <v>1</v>
      </c>
      <c r="M9" s="262">
        <v>1</v>
      </c>
      <c r="N9" s="533"/>
      <c r="O9" s="262">
        <v>1</v>
      </c>
      <c r="P9" s="262">
        <v>1</v>
      </c>
      <c r="Q9" s="262">
        <v>1</v>
      </c>
      <c r="R9" s="262">
        <v>1</v>
      </c>
      <c r="S9" s="262">
        <v>1</v>
      </c>
      <c r="T9" s="262">
        <v>1</v>
      </c>
      <c r="U9" s="533"/>
      <c r="V9" s="262">
        <v>1</v>
      </c>
      <c r="W9" s="262">
        <v>1</v>
      </c>
      <c r="X9" s="262">
        <v>1</v>
      </c>
      <c r="Y9" s="262">
        <v>1</v>
      </c>
      <c r="Z9" s="262">
        <v>1</v>
      </c>
      <c r="AA9" s="262">
        <v>1</v>
      </c>
      <c r="AB9" s="533"/>
      <c r="AC9" s="262">
        <v>1</v>
      </c>
      <c r="AD9" s="262">
        <v>1</v>
      </c>
      <c r="AE9" s="262">
        <v>1</v>
      </c>
      <c r="AF9" s="262">
        <v>1</v>
      </c>
      <c r="AG9" s="278">
        <v>1</v>
      </c>
      <c r="AH9" s="290"/>
      <c r="AI9" s="285">
        <f>SUM(C9:AH9)</f>
        <v>27</v>
      </c>
      <c r="AJ9" s="264" t="s">
        <v>632</v>
      </c>
    </row>
    <row r="10" spans="2:36" ht="16.5" thickBot="1">
      <c r="B10" s="315" t="s">
        <v>781</v>
      </c>
      <c r="C10" s="317">
        <v>1</v>
      </c>
      <c r="D10" s="305">
        <v>1</v>
      </c>
      <c r="E10" s="305">
        <v>1</v>
      </c>
      <c r="F10" s="305">
        <v>1</v>
      </c>
      <c r="G10" s="534"/>
      <c r="H10" s="305">
        <v>1</v>
      </c>
      <c r="I10" s="305">
        <v>1</v>
      </c>
      <c r="J10" s="305">
        <v>1</v>
      </c>
      <c r="K10" s="320">
        <v>1</v>
      </c>
      <c r="L10" s="305">
        <v>1</v>
      </c>
      <c r="M10" s="320">
        <v>1</v>
      </c>
      <c r="N10" s="534"/>
      <c r="O10" s="305"/>
      <c r="P10" s="305"/>
      <c r="Q10" s="305"/>
      <c r="R10" s="305"/>
      <c r="S10" s="305"/>
      <c r="T10" s="305"/>
      <c r="U10" s="534"/>
      <c r="V10" s="305"/>
      <c r="W10" s="305"/>
      <c r="X10" s="305"/>
      <c r="Y10" s="305"/>
      <c r="Z10" s="305"/>
      <c r="AA10" s="305"/>
      <c r="AB10" s="534"/>
      <c r="AC10" s="305"/>
      <c r="AD10" s="305"/>
      <c r="AE10" s="305"/>
      <c r="AF10" s="305"/>
      <c r="AG10" s="314"/>
      <c r="AH10" s="290"/>
      <c r="AI10" s="286">
        <f>SUM(C10:AH10)</f>
        <v>10</v>
      </c>
      <c r="AJ10" s="292" t="s">
        <v>781</v>
      </c>
    </row>
    <row r="11" spans="2:36" ht="16.5" thickBot="1">
      <c r="B11" s="256" t="s">
        <v>633</v>
      </c>
      <c r="C11" s="527"/>
      <c r="D11" s="527"/>
      <c r="E11" s="527"/>
      <c r="F11" s="527"/>
      <c r="G11" s="527"/>
      <c r="H11" s="527"/>
      <c r="I11" s="527"/>
      <c r="J11" s="527"/>
      <c r="K11" s="527"/>
      <c r="L11" s="527"/>
      <c r="M11" s="527"/>
      <c r="N11" s="527"/>
      <c r="O11" s="527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7"/>
      <c r="AB11" s="527"/>
      <c r="AC11" s="527"/>
      <c r="AD11" s="527"/>
      <c r="AE11" s="527"/>
      <c r="AF11" s="527"/>
      <c r="AG11" s="527"/>
      <c r="AH11" s="290"/>
      <c r="AI11" s="295"/>
      <c r="AJ11" s="296" t="s">
        <v>633</v>
      </c>
    </row>
    <row r="12" spans="2:36" ht="15.75">
      <c r="B12" s="255" t="s">
        <v>634</v>
      </c>
      <c r="C12" s="271">
        <v>1</v>
      </c>
      <c r="D12" s="272">
        <v>1</v>
      </c>
      <c r="E12" s="272">
        <v>1</v>
      </c>
      <c r="F12" s="272">
        <v>1</v>
      </c>
      <c r="G12" s="535" t="s">
        <v>730</v>
      </c>
      <c r="H12" s="272">
        <v>1</v>
      </c>
      <c r="I12" s="272">
        <v>1</v>
      </c>
      <c r="J12" s="272">
        <v>1</v>
      </c>
      <c r="K12" s="272">
        <v>1</v>
      </c>
      <c r="L12" s="272">
        <v>1</v>
      </c>
      <c r="M12" s="272">
        <v>1</v>
      </c>
      <c r="N12" s="535" t="s">
        <v>730</v>
      </c>
      <c r="O12" s="272">
        <v>1</v>
      </c>
      <c r="P12" s="272">
        <v>1</v>
      </c>
      <c r="Q12" s="272">
        <v>1</v>
      </c>
      <c r="R12" s="272">
        <v>1</v>
      </c>
      <c r="S12" s="272">
        <v>1</v>
      </c>
      <c r="T12" s="272">
        <v>1</v>
      </c>
      <c r="U12" s="535" t="s">
        <v>730</v>
      </c>
      <c r="V12" s="272">
        <v>1</v>
      </c>
      <c r="W12" s="272">
        <v>1</v>
      </c>
      <c r="X12" s="272">
        <v>1</v>
      </c>
      <c r="Y12" s="272">
        <v>1</v>
      </c>
      <c r="Z12" s="272">
        <v>1</v>
      </c>
      <c r="AA12" s="272">
        <v>1</v>
      </c>
      <c r="AB12" s="535" t="s">
        <v>730</v>
      </c>
      <c r="AC12" s="272">
        <v>1</v>
      </c>
      <c r="AD12" s="272">
        <v>1</v>
      </c>
      <c r="AE12" s="272">
        <v>1</v>
      </c>
      <c r="AF12" s="272">
        <v>1</v>
      </c>
      <c r="AG12" s="282">
        <v>1</v>
      </c>
      <c r="AH12" s="290"/>
      <c r="AI12" s="293">
        <f>SUM(C12:AH12)</f>
        <v>27</v>
      </c>
      <c r="AJ12" s="294" t="s">
        <v>634</v>
      </c>
    </row>
    <row r="13" spans="2:36" ht="15.75">
      <c r="B13" s="255" t="s">
        <v>635</v>
      </c>
      <c r="C13" s="357">
        <v>1</v>
      </c>
      <c r="D13" s="358">
        <v>1</v>
      </c>
      <c r="E13" s="358">
        <v>1</v>
      </c>
      <c r="F13" s="358">
        <v>1</v>
      </c>
      <c r="G13" s="533"/>
      <c r="H13" s="358">
        <v>1</v>
      </c>
      <c r="I13" s="358">
        <v>0</v>
      </c>
      <c r="J13" s="358">
        <v>1</v>
      </c>
      <c r="K13" s="358">
        <v>1</v>
      </c>
      <c r="L13" s="358">
        <v>1</v>
      </c>
      <c r="M13" s="358">
        <v>1</v>
      </c>
      <c r="N13" s="533"/>
      <c r="O13" s="358">
        <v>1</v>
      </c>
      <c r="P13" s="358">
        <v>1</v>
      </c>
      <c r="Q13" s="358">
        <v>1</v>
      </c>
      <c r="R13" s="358">
        <v>1</v>
      </c>
      <c r="S13" s="358">
        <v>1</v>
      </c>
      <c r="T13" s="358">
        <v>1</v>
      </c>
      <c r="U13" s="533"/>
      <c r="V13" s="358">
        <v>1</v>
      </c>
      <c r="W13" s="358">
        <v>1</v>
      </c>
      <c r="X13" s="358">
        <v>1</v>
      </c>
      <c r="Y13" s="358">
        <v>1</v>
      </c>
      <c r="Z13" s="358">
        <v>1</v>
      </c>
      <c r="AA13" s="358">
        <v>1</v>
      </c>
      <c r="AB13" s="533"/>
      <c r="AC13" s="358">
        <v>1</v>
      </c>
      <c r="AD13" s="358">
        <v>1</v>
      </c>
      <c r="AE13" s="358">
        <v>1</v>
      </c>
      <c r="AF13" s="358">
        <v>1</v>
      </c>
      <c r="AG13" s="356">
        <v>1</v>
      </c>
      <c r="AH13" s="290"/>
      <c r="AI13" s="285">
        <f>SUM(C13:AH13)</f>
        <v>26</v>
      </c>
      <c r="AJ13" s="264" t="s">
        <v>635</v>
      </c>
    </row>
    <row r="14" spans="2:36" ht="15.75">
      <c r="B14" s="255" t="s">
        <v>636</v>
      </c>
      <c r="C14" s="357">
        <v>1</v>
      </c>
      <c r="D14" s="358">
        <v>1</v>
      </c>
      <c r="E14" s="358">
        <v>1</v>
      </c>
      <c r="F14" s="358">
        <v>1</v>
      </c>
      <c r="G14" s="533"/>
      <c r="H14" s="358">
        <v>1</v>
      </c>
      <c r="I14" s="358">
        <v>1</v>
      </c>
      <c r="J14" s="358">
        <v>1</v>
      </c>
      <c r="K14" s="358">
        <v>1</v>
      </c>
      <c r="L14" s="358">
        <v>1</v>
      </c>
      <c r="M14" s="358">
        <v>1</v>
      </c>
      <c r="N14" s="533"/>
      <c r="O14" s="358">
        <v>1</v>
      </c>
      <c r="P14" s="358">
        <v>1</v>
      </c>
      <c r="Q14" s="358">
        <v>1</v>
      </c>
      <c r="R14" s="358">
        <v>1</v>
      </c>
      <c r="S14" s="358">
        <v>0</v>
      </c>
      <c r="T14" s="358">
        <v>1</v>
      </c>
      <c r="U14" s="533"/>
      <c r="V14" s="358">
        <v>1</v>
      </c>
      <c r="W14" s="358">
        <v>1</v>
      </c>
      <c r="X14" s="358">
        <v>1</v>
      </c>
      <c r="Y14" s="358">
        <v>1</v>
      </c>
      <c r="Z14" s="358">
        <v>1</v>
      </c>
      <c r="AA14" s="358">
        <v>1</v>
      </c>
      <c r="AB14" s="533"/>
      <c r="AC14" s="358">
        <v>1</v>
      </c>
      <c r="AD14" s="358">
        <v>1</v>
      </c>
      <c r="AE14" s="358">
        <v>1</v>
      </c>
      <c r="AF14" s="358">
        <v>1</v>
      </c>
      <c r="AG14" s="356">
        <v>1</v>
      </c>
      <c r="AH14" s="290"/>
      <c r="AI14" s="285">
        <f>SUM(C14:AH14)</f>
        <v>26</v>
      </c>
      <c r="AJ14" s="264" t="s">
        <v>636</v>
      </c>
    </row>
    <row r="15" spans="2:36" ht="16.5" thickBot="1">
      <c r="B15" s="255" t="s">
        <v>637</v>
      </c>
      <c r="C15" s="270">
        <v>1</v>
      </c>
      <c r="D15" s="224">
        <v>1</v>
      </c>
      <c r="E15" s="224">
        <v>1</v>
      </c>
      <c r="F15" s="224">
        <v>1</v>
      </c>
      <c r="G15" s="534"/>
      <c r="H15" s="305">
        <v>1</v>
      </c>
      <c r="I15" s="224">
        <v>1</v>
      </c>
      <c r="J15" s="224">
        <v>1</v>
      </c>
      <c r="K15" s="224">
        <v>1</v>
      </c>
      <c r="L15" s="224">
        <v>1</v>
      </c>
      <c r="M15" s="224">
        <v>1</v>
      </c>
      <c r="N15" s="534"/>
      <c r="O15" s="224">
        <v>1</v>
      </c>
      <c r="P15" s="224">
        <v>1</v>
      </c>
      <c r="Q15" s="224">
        <v>1</v>
      </c>
      <c r="R15" s="224">
        <v>1</v>
      </c>
      <c r="S15" s="224">
        <v>1</v>
      </c>
      <c r="T15" s="224">
        <v>1</v>
      </c>
      <c r="U15" s="534"/>
      <c r="V15" s="224">
        <v>1</v>
      </c>
      <c r="W15" s="224">
        <v>1</v>
      </c>
      <c r="X15" s="224">
        <v>1</v>
      </c>
      <c r="Y15" s="224">
        <v>1</v>
      </c>
      <c r="Z15" s="224">
        <v>1</v>
      </c>
      <c r="AA15" s="224">
        <v>1</v>
      </c>
      <c r="AB15" s="534"/>
      <c r="AC15" s="224">
        <v>1</v>
      </c>
      <c r="AD15" s="224">
        <v>1</v>
      </c>
      <c r="AE15" s="224">
        <v>1</v>
      </c>
      <c r="AF15" s="224">
        <v>1</v>
      </c>
      <c r="AG15" s="281">
        <v>1</v>
      </c>
      <c r="AH15" s="290"/>
      <c r="AI15" s="286">
        <f>SUM(C15:AH15)</f>
        <v>27</v>
      </c>
      <c r="AJ15" s="292" t="s">
        <v>637</v>
      </c>
    </row>
    <row r="16" spans="2:36" ht="16.5" thickBot="1">
      <c r="B16" s="256" t="s">
        <v>1067</v>
      </c>
      <c r="C16" s="528"/>
      <c r="D16" s="527"/>
      <c r="E16" s="527"/>
      <c r="F16" s="527"/>
      <c r="G16" s="527"/>
      <c r="H16" s="527"/>
      <c r="I16" s="527"/>
      <c r="J16" s="527"/>
      <c r="K16" s="527"/>
      <c r="L16" s="527"/>
      <c r="M16" s="527"/>
      <c r="N16" s="527"/>
      <c r="O16" s="527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7"/>
      <c r="AB16" s="527"/>
      <c r="AC16" s="527"/>
      <c r="AD16" s="527"/>
      <c r="AE16" s="527"/>
      <c r="AF16" s="527"/>
      <c r="AG16" s="529"/>
      <c r="AH16" s="290"/>
      <c r="AI16" s="295"/>
      <c r="AJ16" s="296" t="s">
        <v>1067</v>
      </c>
    </row>
    <row r="17" spans="2:36" ht="15.75" customHeight="1">
      <c r="B17" s="255" t="s">
        <v>26</v>
      </c>
      <c r="C17" s="398">
        <v>1</v>
      </c>
      <c r="D17" s="399">
        <v>1</v>
      </c>
      <c r="E17" s="272">
        <v>1</v>
      </c>
      <c r="F17" s="272">
        <v>1</v>
      </c>
      <c r="G17" s="523" t="s">
        <v>730</v>
      </c>
      <c r="H17" s="272">
        <v>1</v>
      </c>
      <c r="I17" s="272">
        <v>1</v>
      </c>
      <c r="J17" s="272">
        <v>1</v>
      </c>
      <c r="K17" s="272">
        <v>1</v>
      </c>
      <c r="L17" s="272">
        <v>1</v>
      </c>
      <c r="M17" s="272">
        <v>1</v>
      </c>
      <c r="N17" s="523" t="s">
        <v>730</v>
      </c>
      <c r="O17" s="307">
        <v>1</v>
      </c>
      <c r="P17" s="272">
        <v>1</v>
      </c>
      <c r="Q17" s="272">
        <v>1</v>
      </c>
      <c r="R17" s="272">
        <v>1</v>
      </c>
      <c r="S17" s="272">
        <v>1</v>
      </c>
      <c r="T17" s="272">
        <v>1</v>
      </c>
      <c r="U17" s="523" t="s">
        <v>730</v>
      </c>
      <c r="V17" s="272">
        <v>1</v>
      </c>
      <c r="W17" s="272">
        <v>1</v>
      </c>
      <c r="X17" s="272">
        <v>1</v>
      </c>
      <c r="Y17" s="272">
        <v>1</v>
      </c>
      <c r="Z17" s="272">
        <v>1</v>
      </c>
      <c r="AA17" s="272">
        <v>1</v>
      </c>
      <c r="AB17" s="523" t="s">
        <v>730</v>
      </c>
      <c r="AC17" s="272">
        <v>1</v>
      </c>
      <c r="AD17" s="272">
        <v>0</v>
      </c>
      <c r="AE17" s="272">
        <v>1</v>
      </c>
      <c r="AF17" s="272">
        <v>1</v>
      </c>
      <c r="AG17" s="282">
        <v>1</v>
      </c>
      <c r="AH17" s="290"/>
      <c r="AI17" s="293">
        <f t="shared" ref="AI17:AI24" si="0">SUM(C17:AH17)</f>
        <v>26</v>
      </c>
      <c r="AJ17" s="294" t="s">
        <v>26</v>
      </c>
    </row>
    <row r="18" spans="2:36" ht="15.75">
      <c r="B18" s="255" t="s">
        <v>31</v>
      </c>
      <c r="C18" s="261">
        <v>1</v>
      </c>
      <c r="D18" s="400">
        <v>1</v>
      </c>
      <c r="E18" s="400">
        <v>1</v>
      </c>
      <c r="F18" s="262">
        <v>1</v>
      </c>
      <c r="G18" s="524"/>
      <c r="H18" s="400">
        <v>1</v>
      </c>
      <c r="I18" s="262">
        <v>1</v>
      </c>
      <c r="J18" s="262">
        <v>1</v>
      </c>
      <c r="K18" s="262">
        <v>1</v>
      </c>
      <c r="L18" s="262">
        <v>1</v>
      </c>
      <c r="M18" s="262">
        <v>1</v>
      </c>
      <c r="N18" s="524"/>
      <c r="O18" s="262">
        <v>1</v>
      </c>
      <c r="P18" s="262">
        <v>1</v>
      </c>
      <c r="Q18" s="400">
        <v>1</v>
      </c>
      <c r="R18" s="262">
        <v>1</v>
      </c>
      <c r="S18" s="400">
        <v>1</v>
      </c>
      <c r="T18" s="400">
        <v>1</v>
      </c>
      <c r="U18" s="524"/>
      <c r="V18" s="262">
        <v>1</v>
      </c>
      <c r="W18" s="400">
        <v>1</v>
      </c>
      <c r="X18" s="262">
        <v>1</v>
      </c>
      <c r="Y18" s="400">
        <v>1</v>
      </c>
      <c r="Z18" s="400">
        <v>1</v>
      </c>
      <c r="AA18" s="400">
        <v>1</v>
      </c>
      <c r="AB18" s="524"/>
      <c r="AC18" s="400">
        <v>1</v>
      </c>
      <c r="AD18" s="400">
        <v>1</v>
      </c>
      <c r="AE18" s="262">
        <v>1</v>
      </c>
      <c r="AF18" s="262">
        <v>1</v>
      </c>
      <c r="AG18" s="402">
        <v>1</v>
      </c>
      <c r="AH18" s="290"/>
      <c r="AI18" s="285">
        <f t="shared" si="0"/>
        <v>27</v>
      </c>
      <c r="AJ18" s="264" t="s">
        <v>31</v>
      </c>
    </row>
    <row r="19" spans="2:36" ht="15.75">
      <c r="B19" s="255" t="s">
        <v>390</v>
      </c>
      <c r="C19" s="401">
        <v>1</v>
      </c>
      <c r="D19" s="262">
        <v>1</v>
      </c>
      <c r="E19" s="400">
        <v>1</v>
      </c>
      <c r="F19" s="262">
        <v>1</v>
      </c>
      <c r="G19" s="524"/>
      <c r="H19" s="262">
        <v>1</v>
      </c>
      <c r="I19" s="262">
        <v>1</v>
      </c>
      <c r="J19" s="262">
        <v>1</v>
      </c>
      <c r="K19" s="262">
        <v>1</v>
      </c>
      <c r="L19" s="262">
        <v>1</v>
      </c>
      <c r="M19" s="262">
        <v>1</v>
      </c>
      <c r="N19" s="524"/>
      <c r="O19" s="262">
        <v>1</v>
      </c>
      <c r="P19" s="262">
        <v>0</v>
      </c>
      <c r="Q19" s="262">
        <v>1</v>
      </c>
      <c r="R19" s="262">
        <v>1</v>
      </c>
      <c r="S19" s="262">
        <v>1</v>
      </c>
      <c r="T19" s="262">
        <v>1</v>
      </c>
      <c r="U19" s="524"/>
      <c r="V19" s="262">
        <v>1</v>
      </c>
      <c r="W19" s="262">
        <v>1</v>
      </c>
      <c r="X19" s="262">
        <v>0</v>
      </c>
      <c r="Y19" s="262">
        <v>1</v>
      </c>
      <c r="Z19" s="262">
        <v>1</v>
      </c>
      <c r="AA19" s="262">
        <v>1</v>
      </c>
      <c r="AB19" s="524"/>
      <c r="AC19" s="262">
        <v>1</v>
      </c>
      <c r="AD19" s="262">
        <v>1</v>
      </c>
      <c r="AE19" s="400">
        <v>1</v>
      </c>
      <c r="AF19" s="262">
        <v>1</v>
      </c>
      <c r="AG19" s="278">
        <v>1</v>
      </c>
      <c r="AH19" s="290"/>
      <c r="AI19" s="285">
        <f t="shared" si="0"/>
        <v>25</v>
      </c>
      <c r="AJ19" s="264" t="s">
        <v>390</v>
      </c>
    </row>
    <row r="20" spans="2:36" s="311" customFormat="1" ht="15.75">
      <c r="B20" s="315" t="s">
        <v>413</v>
      </c>
      <c r="C20" s="316">
        <v>1</v>
      </c>
      <c r="D20" s="312">
        <v>1</v>
      </c>
      <c r="E20" s="312">
        <v>1</v>
      </c>
      <c r="F20" s="312">
        <v>1</v>
      </c>
      <c r="G20" s="524"/>
      <c r="H20" s="312">
        <v>0</v>
      </c>
      <c r="I20" s="312">
        <v>1</v>
      </c>
      <c r="J20" s="312">
        <v>1</v>
      </c>
      <c r="K20" s="312">
        <v>0</v>
      </c>
      <c r="L20" s="312">
        <v>1</v>
      </c>
      <c r="M20" s="312">
        <v>1</v>
      </c>
      <c r="N20" s="524"/>
      <c r="O20" s="312">
        <v>0</v>
      </c>
      <c r="P20" s="312">
        <v>0</v>
      </c>
      <c r="Q20" s="312"/>
      <c r="R20" s="312"/>
      <c r="S20" s="312"/>
      <c r="T20" s="312"/>
      <c r="U20" s="524"/>
      <c r="V20" s="312"/>
      <c r="W20" s="312"/>
      <c r="X20" s="312"/>
      <c r="Y20" s="312"/>
      <c r="Z20" s="312"/>
      <c r="AA20" s="312"/>
      <c r="AB20" s="524"/>
      <c r="AC20" s="312"/>
      <c r="AD20" s="312"/>
      <c r="AE20" s="312"/>
      <c r="AF20" s="312"/>
      <c r="AG20" s="313"/>
      <c r="AH20" s="309"/>
      <c r="AI20" s="310">
        <f t="shared" si="0"/>
        <v>8</v>
      </c>
      <c r="AJ20" s="264" t="s">
        <v>413</v>
      </c>
    </row>
    <row r="21" spans="2:36" ht="15.75">
      <c r="B21" s="255" t="s">
        <v>638</v>
      </c>
      <c r="C21" s="261">
        <v>1</v>
      </c>
      <c r="D21" s="400">
        <v>1</v>
      </c>
      <c r="E21" s="262">
        <v>1</v>
      </c>
      <c r="F21" s="400">
        <v>1</v>
      </c>
      <c r="G21" s="524"/>
      <c r="H21" s="262">
        <v>1</v>
      </c>
      <c r="I21" s="262">
        <v>0</v>
      </c>
      <c r="J21" s="262">
        <v>0</v>
      </c>
      <c r="K21" s="400">
        <v>1</v>
      </c>
      <c r="L21" s="400">
        <v>1</v>
      </c>
      <c r="M21" s="262">
        <v>0</v>
      </c>
      <c r="N21" s="524"/>
      <c r="O21" s="400">
        <v>1</v>
      </c>
      <c r="P21" s="400">
        <v>1</v>
      </c>
      <c r="Q21" s="262">
        <v>1</v>
      </c>
      <c r="R21" s="262">
        <v>1</v>
      </c>
      <c r="S21" s="400">
        <v>1</v>
      </c>
      <c r="T21" s="262">
        <v>1</v>
      </c>
      <c r="U21" s="524"/>
      <c r="V21" s="262">
        <v>0</v>
      </c>
      <c r="W21" s="262">
        <v>1</v>
      </c>
      <c r="X21" s="262">
        <v>0</v>
      </c>
      <c r="Y21" s="400">
        <v>1</v>
      </c>
      <c r="Z21" s="262">
        <v>1</v>
      </c>
      <c r="AA21" s="262">
        <v>1</v>
      </c>
      <c r="AB21" s="524"/>
      <c r="AC21" s="262">
        <v>1</v>
      </c>
      <c r="AD21" s="262">
        <v>1</v>
      </c>
      <c r="AE21" s="400">
        <v>1</v>
      </c>
      <c r="AF21" s="262">
        <v>1</v>
      </c>
      <c r="AG21" s="278">
        <v>1</v>
      </c>
      <c r="AH21" s="290"/>
      <c r="AI21" s="285">
        <f t="shared" si="0"/>
        <v>22</v>
      </c>
      <c r="AJ21" s="264" t="s">
        <v>638</v>
      </c>
    </row>
    <row r="22" spans="2:36" ht="15.75">
      <c r="B22" s="255" t="s">
        <v>32</v>
      </c>
      <c r="C22" s="261">
        <v>1</v>
      </c>
      <c r="D22" s="400">
        <v>1</v>
      </c>
      <c r="E22" s="400">
        <v>1</v>
      </c>
      <c r="F22" s="262">
        <v>1</v>
      </c>
      <c r="G22" s="524"/>
      <c r="H22" s="400">
        <v>1</v>
      </c>
      <c r="I22" s="262">
        <v>1</v>
      </c>
      <c r="J22" s="262">
        <v>1</v>
      </c>
      <c r="K22" s="262">
        <v>1</v>
      </c>
      <c r="L22" s="262">
        <v>1</v>
      </c>
      <c r="M22" s="262">
        <v>1</v>
      </c>
      <c r="N22" s="524"/>
      <c r="O22" s="262">
        <v>1</v>
      </c>
      <c r="P22" s="262">
        <v>1</v>
      </c>
      <c r="Q22" s="262">
        <v>1</v>
      </c>
      <c r="R22" s="262">
        <v>1</v>
      </c>
      <c r="S22" s="262">
        <v>1</v>
      </c>
      <c r="T22" s="262">
        <v>1</v>
      </c>
      <c r="U22" s="524"/>
      <c r="V22" s="262">
        <v>1</v>
      </c>
      <c r="W22" s="262">
        <v>1</v>
      </c>
      <c r="X22" s="262">
        <v>1</v>
      </c>
      <c r="Y22" s="262">
        <v>1</v>
      </c>
      <c r="Z22" s="262">
        <v>1</v>
      </c>
      <c r="AA22" s="262">
        <v>1</v>
      </c>
      <c r="AB22" s="524"/>
      <c r="AC22" s="400">
        <v>1</v>
      </c>
      <c r="AD22" s="262">
        <v>0</v>
      </c>
      <c r="AE22" s="400">
        <v>1</v>
      </c>
      <c r="AF22" s="400">
        <v>1</v>
      </c>
      <c r="AG22" s="278">
        <v>1</v>
      </c>
      <c r="AH22" s="290"/>
      <c r="AI22" s="285">
        <f t="shared" si="0"/>
        <v>26</v>
      </c>
      <c r="AJ22" s="264" t="s">
        <v>32</v>
      </c>
    </row>
    <row r="23" spans="2:36" ht="16.5" thickBot="1">
      <c r="B23" s="257" t="s">
        <v>128</v>
      </c>
      <c r="C23" s="261">
        <v>1</v>
      </c>
      <c r="D23" s="262">
        <v>1</v>
      </c>
      <c r="E23" s="262">
        <v>1</v>
      </c>
      <c r="F23" s="262">
        <v>1</v>
      </c>
      <c r="G23" s="524"/>
      <c r="H23" s="262">
        <v>1</v>
      </c>
      <c r="I23" s="262">
        <v>1</v>
      </c>
      <c r="J23" s="262">
        <v>1</v>
      </c>
      <c r="K23" s="262">
        <v>1</v>
      </c>
      <c r="L23" s="262">
        <v>1</v>
      </c>
      <c r="M23" s="262">
        <v>1</v>
      </c>
      <c r="N23" s="524"/>
      <c r="O23" s="262">
        <v>1</v>
      </c>
      <c r="P23" s="262">
        <v>1</v>
      </c>
      <c r="Q23" s="262">
        <v>1</v>
      </c>
      <c r="R23" s="262">
        <v>1</v>
      </c>
      <c r="S23" s="262">
        <v>1</v>
      </c>
      <c r="T23" s="262">
        <v>1</v>
      </c>
      <c r="U23" s="524"/>
      <c r="V23" s="262">
        <v>1</v>
      </c>
      <c r="W23" s="262">
        <v>1</v>
      </c>
      <c r="X23" s="262">
        <v>1</v>
      </c>
      <c r="Y23" s="262">
        <v>1</v>
      </c>
      <c r="Z23" s="262">
        <v>1</v>
      </c>
      <c r="AA23" s="262">
        <v>1</v>
      </c>
      <c r="AB23" s="524"/>
      <c r="AC23" s="262">
        <v>1</v>
      </c>
      <c r="AD23" s="262">
        <v>1</v>
      </c>
      <c r="AE23" s="262">
        <v>1</v>
      </c>
      <c r="AF23" s="262">
        <v>1</v>
      </c>
      <c r="AG23" s="278">
        <v>1</v>
      </c>
      <c r="AH23" s="290"/>
      <c r="AI23" s="286">
        <f t="shared" si="0"/>
        <v>27</v>
      </c>
      <c r="AJ23" s="265" t="s">
        <v>128</v>
      </c>
    </row>
    <row r="24" spans="2:36" ht="16.5" thickBot="1">
      <c r="B24" s="252" t="s">
        <v>662</v>
      </c>
      <c r="C24" s="258">
        <v>1</v>
      </c>
      <c r="D24" s="259">
        <v>1</v>
      </c>
      <c r="E24" s="259">
        <v>1</v>
      </c>
      <c r="F24" s="259">
        <v>1</v>
      </c>
      <c r="G24" s="525"/>
      <c r="H24" s="259">
        <v>1</v>
      </c>
      <c r="I24" s="259">
        <v>1</v>
      </c>
      <c r="J24" s="259">
        <v>1</v>
      </c>
      <c r="K24" s="259">
        <v>1</v>
      </c>
      <c r="L24" s="259">
        <v>1</v>
      </c>
      <c r="M24" s="259">
        <v>1</v>
      </c>
      <c r="N24" s="525"/>
      <c r="O24" s="259">
        <v>1</v>
      </c>
      <c r="P24" s="259">
        <v>1</v>
      </c>
      <c r="Q24" s="259">
        <v>1</v>
      </c>
      <c r="R24" s="259">
        <v>1</v>
      </c>
      <c r="S24" s="259">
        <v>1</v>
      </c>
      <c r="T24" s="259">
        <v>1</v>
      </c>
      <c r="U24" s="525"/>
      <c r="V24" s="259">
        <v>1</v>
      </c>
      <c r="W24" s="259">
        <v>1</v>
      </c>
      <c r="X24" s="259">
        <v>1</v>
      </c>
      <c r="Y24" s="259">
        <v>1</v>
      </c>
      <c r="Z24" s="259">
        <v>1</v>
      </c>
      <c r="AA24" s="259">
        <v>1</v>
      </c>
      <c r="AB24" s="525"/>
      <c r="AC24" s="259">
        <v>1</v>
      </c>
      <c r="AD24" s="259">
        <v>1</v>
      </c>
      <c r="AE24" s="259">
        <v>1</v>
      </c>
      <c r="AF24" s="259">
        <v>1</v>
      </c>
      <c r="AG24" s="283">
        <v>1</v>
      </c>
      <c r="AH24" s="291"/>
      <c r="AI24" s="287">
        <f t="shared" si="0"/>
        <v>27</v>
      </c>
      <c r="AJ24" s="266" t="s">
        <v>662</v>
      </c>
    </row>
    <row r="36" spans="2:36" ht="21.75" thickBot="1">
      <c r="P36" s="519" t="s">
        <v>1069</v>
      </c>
      <c r="Q36" s="519"/>
      <c r="R36" s="519"/>
      <c r="S36" s="519"/>
      <c r="T36" s="519"/>
      <c r="U36" s="519"/>
    </row>
    <row r="37" spans="2:36" ht="16.5" thickBot="1">
      <c r="B37" s="253" t="s">
        <v>0</v>
      </c>
      <c r="C37" s="372">
        <v>1</v>
      </c>
      <c r="D37" s="268">
        <v>2</v>
      </c>
      <c r="E37" s="268">
        <v>3</v>
      </c>
      <c r="F37" s="268">
        <v>4</v>
      </c>
      <c r="G37" s="268">
        <v>5</v>
      </c>
      <c r="H37" s="268">
        <v>6</v>
      </c>
      <c r="I37" s="268">
        <v>7</v>
      </c>
      <c r="J37" s="268">
        <v>8</v>
      </c>
      <c r="K37" s="268">
        <v>9</v>
      </c>
      <c r="L37" s="268">
        <v>10</v>
      </c>
      <c r="M37" s="268">
        <v>11</v>
      </c>
      <c r="N37" s="268">
        <v>12</v>
      </c>
      <c r="O37" s="268">
        <v>13</v>
      </c>
      <c r="P37" s="268">
        <v>14</v>
      </c>
      <c r="Q37" s="268">
        <v>15</v>
      </c>
      <c r="R37" s="268">
        <v>16</v>
      </c>
      <c r="S37" s="268">
        <v>17</v>
      </c>
      <c r="T37" s="268">
        <v>18</v>
      </c>
      <c r="U37" s="268">
        <v>19</v>
      </c>
      <c r="V37" s="268">
        <v>20</v>
      </c>
      <c r="W37" s="268">
        <v>21</v>
      </c>
      <c r="X37" s="268">
        <v>22</v>
      </c>
      <c r="Y37" s="268">
        <v>23</v>
      </c>
      <c r="Z37" s="268">
        <v>24</v>
      </c>
      <c r="AA37" s="268">
        <v>25</v>
      </c>
      <c r="AB37" s="268">
        <v>26</v>
      </c>
      <c r="AC37" s="268">
        <v>27</v>
      </c>
      <c r="AD37" s="268">
        <v>28</v>
      </c>
      <c r="AE37" s="268">
        <v>29</v>
      </c>
      <c r="AF37" s="268">
        <v>30</v>
      </c>
      <c r="AG37" s="279">
        <v>31</v>
      </c>
      <c r="AH37" s="288"/>
      <c r="AI37" s="530" t="s">
        <v>640</v>
      </c>
      <c r="AJ37" s="531"/>
    </row>
    <row r="38" spans="2:36" ht="15.75">
      <c r="B38" s="388" t="s">
        <v>639</v>
      </c>
      <c r="C38" s="249" t="s">
        <v>700</v>
      </c>
      <c r="D38" s="520" t="s">
        <v>730</v>
      </c>
      <c r="E38" s="249" t="s">
        <v>695</v>
      </c>
      <c r="F38" s="249" t="s">
        <v>696</v>
      </c>
      <c r="G38" s="249" t="s">
        <v>697</v>
      </c>
      <c r="H38" s="249" t="s">
        <v>698</v>
      </c>
      <c r="I38" s="249" t="s">
        <v>699</v>
      </c>
      <c r="J38" s="249" t="s">
        <v>700</v>
      </c>
      <c r="K38" s="520" t="s">
        <v>730</v>
      </c>
      <c r="L38" s="249" t="s">
        <v>695</v>
      </c>
      <c r="M38" s="249" t="s">
        <v>696</v>
      </c>
      <c r="N38" s="249" t="s">
        <v>697</v>
      </c>
      <c r="O38" s="249" t="s">
        <v>698</v>
      </c>
      <c r="P38" s="249" t="s">
        <v>699</v>
      </c>
      <c r="Q38" s="249" t="s">
        <v>700</v>
      </c>
      <c r="R38" s="520" t="s">
        <v>730</v>
      </c>
      <c r="S38" s="249" t="s">
        <v>695</v>
      </c>
      <c r="T38" s="249" t="s">
        <v>696</v>
      </c>
      <c r="U38" s="249" t="s">
        <v>697</v>
      </c>
      <c r="V38" s="249" t="s">
        <v>698</v>
      </c>
      <c r="W38" s="249" t="s">
        <v>699</v>
      </c>
      <c r="X38" s="249" t="s">
        <v>700</v>
      </c>
      <c r="Y38" s="520" t="s">
        <v>730</v>
      </c>
      <c r="Z38" s="249" t="s">
        <v>695</v>
      </c>
      <c r="AA38" s="249" t="s">
        <v>696</v>
      </c>
      <c r="AB38" s="249" t="s">
        <v>697</v>
      </c>
      <c r="AC38" s="249" t="s">
        <v>698</v>
      </c>
      <c r="AD38" s="249" t="s">
        <v>699</v>
      </c>
      <c r="AE38" s="249" t="s">
        <v>700</v>
      </c>
      <c r="AF38" s="520" t="s">
        <v>730</v>
      </c>
      <c r="AG38" s="249"/>
      <c r="AH38" s="381"/>
      <c r="AI38" s="284"/>
      <c r="AJ38" s="386" t="s">
        <v>639</v>
      </c>
    </row>
    <row r="39" spans="2:36" ht="15.75">
      <c r="B39" s="255" t="s">
        <v>630</v>
      </c>
      <c r="C39" s="376">
        <v>1</v>
      </c>
      <c r="D39" s="521"/>
      <c r="E39" s="377">
        <v>1</v>
      </c>
      <c r="F39" s="377">
        <v>1</v>
      </c>
      <c r="G39" s="377">
        <v>1</v>
      </c>
      <c r="H39" s="377">
        <v>1</v>
      </c>
      <c r="I39" s="377">
        <v>1</v>
      </c>
      <c r="J39" s="377">
        <v>1</v>
      </c>
      <c r="K39" s="521"/>
      <c r="L39" s="377">
        <v>1</v>
      </c>
      <c r="M39" s="377">
        <v>1</v>
      </c>
      <c r="N39" s="377">
        <v>1</v>
      </c>
      <c r="O39" s="377">
        <v>1</v>
      </c>
      <c r="P39" s="377">
        <v>1</v>
      </c>
      <c r="Q39" s="377">
        <v>1</v>
      </c>
      <c r="R39" s="521"/>
      <c r="S39" s="377">
        <v>1</v>
      </c>
      <c r="T39" s="377">
        <v>1</v>
      </c>
      <c r="U39" s="377">
        <v>1</v>
      </c>
      <c r="V39" s="377">
        <v>1</v>
      </c>
      <c r="W39" s="377">
        <v>1</v>
      </c>
      <c r="X39" s="377">
        <v>1</v>
      </c>
      <c r="Y39" s="521"/>
      <c r="Z39" s="377">
        <v>1</v>
      </c>
      <c r="AA39" s="377">
        <v>1</v>
      </c>
      <c r="AB39" s="377">
        <v>1</v>
      </c>
      <c r="AC39" s="377">
        <v>1</v>
      </c>
      <c r="AD39" s="377">
        <v>1</v>
      </c>
      <c r="AE39" s="377"/>
      <c r="AF39" s="521"/>
      <c r="AG39" s="377"/>
      <c r="AH39" s="382"/>
      <c r="AI39" s="285">
        <f>SUM(C39:AH39)</f>
        <v>24</v>
      </c>
      <c r="AJ39" s="264" t="s">
        <v>630</v>
      </c>
    </row>
    <row r="40" spans="2:36" ht="15.75">
      <c r="B40" s="255" t="s">
        <v>631</v>
      </c>
      <c r="C40" s="376">
        <v>1</v>
      </c>
      <c r="D40" s="521"/>
      <c r="E40" s="377">
        <v>1</v>
      </c>
      <c r="F40" s="377">
        <v>1</v>
      </c>
      <c r="G40" s="377">
        <v>1</v>
      </c>
      <c r="H40" s="377">
        <v>1</v>
      </c>
      <c r="I40" s="377">
        <v>1</v>
      </c>
      <c r="J40" s="377">
        <v>1</v>
      </c>
      <c r="K40" s="521"/>
      <c r="L40" s="377">
        <v>1</v>
      </c>
      <c r="M40" s="377">
        <v>1</v>
      </c>
      <c r="N40" s="377">
        <v>1</v>
      </c>
      <c r="O40" s="377">
        <v>1</v>
      </c>
      <c r="P40" s="377">
        <v>1</v>
      </c>
      <c r="Q40" s="377">
        <v>1</v>
      </c>
      <c r="R40" s="521"/>
      <c r="S40" s="377">
        <v>1</v>
      </c>
      <c r="T40" s="377">
        <v>1</v>
      </c>
      <c r="U40" s="377">
        <v>1</v>
      </c>
      <c r="V40" s="377">
        <v>1</v>
      </c>
      <c r="W40" s="377">
        <v>1</v>
      </c>
      <c r="X40" s="377">
        <v>1</v>
      </c>
      <c r="Y40" s="521"/>
      <c r="Z40" s="377">
        <v>1</v>
      </c>
      <c r="AA40" s="377">
        <v>1</v>
      </c>
      <c r="AB40" s="377">
        <v>1</v>
      </c>
      <c r="AC40" s="377">
        <v>1</v>
      </c>
      <c r="AD40" s="377">
        <v>1</v>
      </c>
      <c r="AE40" s="377"/>
      <c r="AF40" s="521"/>
      <c r="AG40" s="377"/>
      <c r="AH40" s="382"/>
      <c r="AI40" s="285">
        <f>SUM(C40:AH40)</f>
        <v>24</v>
      </c>
      <c r="AJ40" s="264" t="s">
        <v>631</v>
      </c>
    </row>
    <row r="41" spans="2:36" ht="15.75">
      <c r="B41" s="255" t="s">
        <v>632</v>
      </c>
      <c r="C41" s="376">
        <v>1</v>
      </c>
      <c r="D41" s="521"/>
      <c r="E41" s="377">
        <v>1</v>
      </c>
      <c r="F41" s="377">
        <v>1</v>
      </c>
      <c r="G41" s="377">
        <v>1</v>
      </c>
      <c r="H41" s="377">
        <v>1</v>
      </c>
      <c r="I41" s="377">
        <v>1</v>
      </c>
      <c r="J41" s="377">
        <v>1</v>
      </c>
      <c r="K41" s="521"/>
      <c r="L41" s="377">
        <v>0</v>
      </c>
      <c r="M41" s="377">
        <v>1</v>
      </c>
      <c r="N41" s="377">
        <v>1</v>
      </c>
      <c r="O41" s="377">
        <v>1</v>
      </c>
      <c r="P41" s="377">
        <v>1</v>
      </c>
      <c r="Q41" s="377">
        <v>1</v>
      </c>
      <c r="R41" s="521"/>
      <c r="S41" s="377">
        <v>1</v>
      </c>
      <c r="T41" s="377">
        <v>1</v>
      </c>
      <c r="U41" s="377">
        <v>1</v>
      </c>
      <c r="V41" s="377">
        <v>1</v>
      </c>
      <c r="W41" s="377">
        <v>1</v>
      </c>
      <c r="X41" s="377">
        <v>1</v>
      </c>
      <c r="Y41" s="521"/>
      <c r="Z41" s="377">
        <v>1</v>
      </c>
      <c r="AA41" s="377">
        <v>1</v>
      </c>
      <c r="AB41" s="377">
        <v>1</v>
      </c>
      <c r="AC41" s="377">
        <v>1</v>
      </c>
      <c r="AD41" s="377">
        <v>1</v>
      </c>
      <c r="AE41" s="377"/>
      <c r="AF41" s="521"/>
      <c r="AG41" s="377"/>
      <c r="AH41" s="382"/>
      <c r="AI41" s="285">
        <f>SUM(C41:AH41)</f>
        <v>23</v>
      </c>
      <c r="AJ41" s="264" t="s">
        <v>632</v>
      </c>
    </row>
    <row r="42" spans="2:36" ht="16.5" thickBot="1">
      <c r="B42" s="378"/>
      <c r="C42" s="387"/>
      <c r="D42" s="522"/>
      <c r="E42" s="322"/>
      <c r="F42" s="322"/>
      <c r="G42" s="322"/>
      <c r="H42" s="322"/>
      <c r="I42" s="322"/>
      <c r="J42" s="322"/>
      <c r="K42" s="522"/>
      <c r="L42" s="322"/>
      <c r="M42" s="322"/>
      <c r="N42" s="322"/>
      <c r="O42" s="322"/>
      <c r="P42" s="322"/>
      <c r="Q42" s="322"/>
      <c r="R42" s="522"/>
      <c r="S42" s="322"/>
      <c r="T42" s="322"/>
      <c r="U42" s="322"/>
      <c r="V42" s="322"/>
      <c r="W42" s="322"/>
      <c r="X42" s="322"/>
      <c r="Y42" s="522"/>
      <c r="Z42" s="322"/>
      <c r="AA42" s="322"/>
      <c r="AB42" s="322"/>
      <c r="AC42" s="322"/>
      <c r="AD42" s="322"/>
      <c r="AE42" s="322"/>
      <c r="AF42" s="522"/>
      <c r="AG42" s="322"/>
      <c r="AH42" s="382"/>
      <c r="AI42" s="286"/>
      <c r="AJ42" s="292"/>
    </row>
    <row r="43" spans="2:36" ht="16.5" thickBot="1">
      <c r="B43" s="384" t="s">
        <v>633</v>
      </c>
      <c r="C43" s="536"/>
      <c r="D43" s="536"/>
      <c r="E43" s="536"/>
      <c r="F43" s="536"/>
      <c r="G43" s="536"/>
      <c r="H43" s="536"/>
      <c r="I43" s="536"/>
      <c r="J43" s="536"/>
      <c r="K43" s="536"/>
      <c r="L43" s="536"/>
      <c r="M43" s="536"/>
      <c r="N43" s="536"/>
      <c r="O43" s="536"/>
      <c r="P43" s="536"/>
      <c r="Q43" s="536"/>
      <c r="R43" s="536"/>
      <c r="S43" s="536"/>
      <c r="T43" s="536"/>
      <c r="U43" s="536"/>
      <c r="V43" s="536"/>
      <c r="W43" s="536"/>
      <c r="X43" s="536"/>
      <c r="Y43" s="536"/>
      <c r="Z43" s="536"/>
      <c r="AA43" s="536"/>
      <c r="AB43" s="536"/>
      <c r="AC43" s="536"/>
      <c r="AD43" s="536"/>
      <c r="AE43" s="536"/>
      <c r="AF43" s="536"/>
      <c r="AG43" s="536"/>
      <c r="AH43" s="290"/>
      <c r="AI43" s="383"/>
      <c r="AJ43" s="385" t="s">
        <v>633</v>
      </c>
    </row>
    <row r="44" spans="2:36" ht="15.75">
      <c r="B44" s="255" t="s">
        <v>634</v>
      </c>
      <c r="C44" s="271">
        <v>1</v>
      </c>
      <c r="D44" s="537" t="s">
        <v>730</v>
      </c>
      <c r="E44" s="272">
        <v>1</v>
      </c>
      <c r="F44" s="272">
        <v>1</v>
      </c>
      <c r="G44" s="272">
        <v>1</v>
      </c>
      <c r="H44" s="272">
        <v>1</v>
      </c>
      <c r="I44" s="272">
        <v>1</v>
      </c>
      <c r="J44" s="272">
        <v>1</v>
      </c>
      <c r="K44" s="537" t="s">
        <v>730</v>
      </c>
      <c r="L44" s="272">
        <v>1</v>
      </c>
      <c r="M44" s="272">
        <v>1</v>
      </c>
      <c r="N44" s="272">
        <v>1</v>
      </c>
      <c r="O44" s="272">
        <v>1</v>
      </c>
      <c r="P44" s="272">
        <v>1</v>
      </c>
      <c r="Q44" s="272">
        <v>1</v>
      </c>
      <c r="R44" s="537" t="s">
        <v>730</v>
      </c>
      <c r="S44" s="272">
        <v>1</v>
      </c>
      <c r="T44" s="272">
        <v>1</v>
      </c>
      <c r="U44" s="272">
        <v>1</v>
      </c>
      <c r="V44" s="272">
        <v>1</v>
      </c>
      <c r="W44" s="272">
        <v>1</v>
      </c>
      <c r="X44" s="272">
        <v>1</v>
      </c>
      <c r="Y44" s="537" t="s">
        <v>730</v>
      </c>
      <c r="Z44" s="272">
        <v>1</v>
      </c>
      <c r="AA44" s="272">
        <v>1</v>
      </c>
      <c r="AB44" s="272">
        <v>1</v>
      </c>
      <c r="AC44" s="272">
        <v>1</v>
      </c>
      <c r="AD44" s="272">
        <v>1</v>
      </c>
      <c r="AE44" s="272"/>
      <c r="AF44" s="537" t="s">
        <v>730</v>
      </c>
      <c r="AG44" s="282"/>
      <c r="AH44" s="290"/>
      <c r="AI44" s="293">
        <f>SUM(C44:AH44)</f>
        <v>24</v>
      </c>
      <c r="AJ44" s="294" t="s">
        <v>634</v>
      </c>
    </row>
    <row r="45" spans="2:36" ht="15.75">
      <c r="B45" s="255" t="s">
        <v>635</v>
      </c>
      <c r="C45" s="374">
        <v>1</v>
      </c>
      <c r="D45" s="521"/>
      <c r="E45" s="375">
        <v>0</v>
      </c>
      <c r="F45" s="375">
        <v>1</v>
      </c>
      <c r="G45" s="377">
        <v>0</v>
      </c>
      <c r="H45" s="375">
        <v>1</v>
      </c>
      <c r="I45" s="375">
        <v>1</v>
      </c>
      <c r="J45" s="375">
        <v>1</v>
      </c>
      <c r="K45" s="521"/>
      <c r="L45" s="375">
        <v>1</v>
      </c>
      <c r="M45" s="375">
        <v>1</v>
      </c>
      <c r="N45" s="377">
        <v>1</v>
      </c>
      <c r="O45" s="375">
        <v>1</v>
      </c>
      <c r="P45" s="375">
        <v>1</v>
      </c>
      <c r="Q45" s="375">
        <v>0</v>
      </c>
      <c r="R45" s="521"/>
      <c r="S45" s="375">
        <v>1</v>
      </c>
      <c r="T45" s="375">
        <v>1</v>
      </c>
      <c r="U45" s="377">
        <v>1</v>
      </c>
      <c r="V45" s="375">
        <v>0</v>
      </c>
      <c r="W45" s="375">
        <v>1</v>
      </c>
      <c r="X45" s="375">
        <v>1</v>
      </c>
      <c r="Y45" s="521"/>
      <c r="Z45" s="375">
        <v>1</v>
      </c>
      <c r="AA45" s="375">
        <v>1</v>
      </c>
      <c r="AB45" s="377">
        <v>1</v>
      </c>
      <c r="AC45" s="375">
        <v>1</v>
      </c>
      <c r="AD45" s="375">
        <v>1</v>
      </c>
      <c r="AE45" s="375"/>
      <c r="AF45" s="521"/>
      <c r="AG45" s="373"/>
      <c r="AH45" s="290"/>
      <c r="AI45" s="285">
        <f>SUM(C45:AH45)</f>
        <v>20</v>
      </c>
      <c r="AJ45" s="264" t="s">
        <v>635</v>
      </c>
    </row>
    <row r="46" spans="2:36" ht="15.75">
      <c r="B46" s="255" t="s">
        <v>636</v>
      </c>
      <c r="C46" s="374">
        <v>1</v>
      </c>
      <c r="D46" s="521"/>
      <c r="E46" s="375">
        <v>1</v>
      </c>
      <c r="F46" s="375">
        <v>1</v>
      </c>
      <c r="G46" s="377">
        <v>1</v>
      </c>
      <c r="H46" s="375">
        <v>1</v>
      </c>
      <c r="I46" s="375">
        <v>1</v>
      </c>
      <c r="J46" s="375">
        <v>1</v>
      </c>
      <c r="K46" s="521"/>
      <c r="L46" s="375">
        <v>1</v>
      </c>
      <c r="M46" s="375">
        <v>1</v>
      </c>
      <c r="N46" s="377">
        <v>1</v>
      </c>
      <c r="O46" s="375">
        <v>0</v>
      </c>
      <c r="P46" s="375">
        <v>1</v>
      </c>
      <c r="Q46" s="375">
        <v>1</v>
      </c>
      <c r="R46" s="521"/>
      <c r="S46" s="375">
        <v>1</v>
      </c>
      <c r="T46" s="375">
        <v>1</v>
      </c>
      <c r="U46" s="377">
        <v>0</v>
      </c>
      <c r="V46" s="375">
        <v>1</v>
      </c>
      <c r="W46" s="375">
        <v>1</v>
      </c>
      <c r="X46" s="375">
        <v>0</v>
      </c>
      <c r="Y46" s="521"/>
      <c r="Z46" s="375">
        <v>0</v>
      </c>
      <c r="AA46" s="375">
        <v>0</v>
      </c>
      <c r="AB46" s="377">
        <v>0</v>
      </c>
      <c r="AC46" s="480">
        <v>1</v>
      </c>
      <c r="AD46" s="375">
        <v>0</v>
      </c>
      <c r="AE46" s="375"/>
      <c r="AF46" s="521"/>
      <c r="AG46" s="373"/>
      <c r="AH46" s="290"/>
      <c r="AI46" s="285">
        <f>SUM(C46:AH46)</f>
        <v>17</v>
      </c>
      <c r="AJ46" s="264" t="s">
        <v>636</v>
      </c>
    </row>
    <row r="47" spans="2:36" ht="16.5" thickBot="1">
      <c r="B47" s="255" t="s">
        <v>637</v>
      </c>
      <c r="C47" s="270"/>
      <c r="D47" s="538"/>
      <c r="E47" s="224">
        <v>1</v>
      </c>
      <c r="F47" s="224">
        <v>1</v>
      </c>
      <c r="G47" s="224">
        <v>1</v>
      </c>
      <c r="H47" s="224">
        <v>1</v>
      </c>
      <c r="I47" s="224">
        <v>0</v>
      </c>
      <c r="J47" s="224">
        <v>1</v>
      </c>
      <c r="K47" s="538"/>
      <c r="L47" s="224">
        <v>1</v>
      </c>
      <c r="M47" s="224">
        <v>1</v>
      </c>
      <c r="N47" s="224">
        <v>1</v>
      </c>
      <c r="O47" s="224">
        <v>1</v>
      </c>
      <c r="P47" s="224">
        <v>1</v>
      </c>
      <c r="Q47" s="224">
        <v>1</v>
      </c>
      <c r="R47" s="538"/>
      <c r="S47" s="224">
        <v>1</v>
      </c>
      <c r="T47" s="224">
        <v>1</v>
      </c>
      <c r="U47" s="224">
        <v>1</v>
      </c>
      <c r="V47" s="224">
        <v>1</v>
      </c>
      <c r="W47" s="224">
        <v>1</v>
      </c>
      <c r="X47" s="224">
        <v>1</v>
      </c>
      <c r="Y47" s="538"/>
      <c r="Z47" s="224">
        <v>1</v>
      </c>
      <c r="AA47" s="224">
        <v>1</v>
      </c>
      <c r="AB47" s="224">
        <v>1</v>
      </c>
      <c r="AC47" s="224">
        <v>0</v>
      </c>
      <c r="AD47" s="224">
        <v>1</v>
      </c>
      <c r="AE47" s="224"/>
      <c r="AF47" s="538"/>
      <c r="AG47" s="281"/>
      <c r="AH47" s="290"/>
      <c r="AI47" s="286">
        <f>SUM(C47:AH47)</f>
        <v>21</v>
      </c>
      <c r="AJ47" s="292" t="s">
        <v>637</v>
      </c>
    </row>
    <row r="48" spans="2:36" ht="16.5" thickBot="1">
      <c r="B48" s="384" t="s">
        <v>1067</v>
      </c>
      <c r="C48" s="539"/>
      <c r="D48" s="539"/>
      <c r="E48" s="539"/>
      <c r="F48" s="539"/>
      <c r="G48" s="539"/>
      <c r="H48" s="539"/>
      <c r="I48" s="539"/>
      <c r="J48" s="539"/>
      <c r="K48" s="539"/>
      <c r="L48" s="539"/>
      <c r="M48" s="539"/>
      <c r="N48" s="539"/>
      <c r="O48" s="539"/>
      <c r="P48" s="539"/>
      <c r="Q48" s="539"/>
      <c r="R48" s="539"/>
      <c r="S48" s="539"/>
      <c r="T48" s="539"/>
      <c r="U48" s="539"/>
      <c r="V48" s="539"/>
      <c r="W48" s="539"/>
      <c r="X48" s="539"/>
      <c r="Y48" s="539"/>
      <c r="Z48" s="539"/>
      <c r="AA48" s="539"/>
      <c r="AB48" s="539"/>
      <c r="AC48" s="539"/>
      <c r="AD48" s="539"/>
      <c r="AE48" s="539"/>
      <c r="AF48" s="539"/>
      <c r="AG48" s="540"/>
      <c r="AH48" s="290"/>
      <c r="AI48" s="383"/>
      <c r="AJ48" s="385" t="s">
        <v>1067</v>
      </c>
    </row>
    <row r="49" spans="2:36" ht="15.75" customHeight="1">
      <c r="B49" s="255" t="s">
        <v>1068</v>
      </c>
      <c r="C49" s="271">
        <v>1</v>
      </c>
      <c r="D49" s="541" t="s">
        <v>730</v>
      </c>
      <c r="E49" s="272">
        <v>1</v>
      </c>
      <c r="F49" s="272">
        <v>1</v>
      </c>
      <c r="G49" s="272">
        <v>1</v>
      </c>
      <c r="H49" s="272">
        <v>1</v>
      </c>
      <c r="I49" s="272">
        <v>1</v>
      </c>
      <c r="J49" s="272">
        <v>1</v>
      </c>
      <c r="K49" s="541" t="s">
        <v>730</v>
      </c>
      <c r="L49" s="272">
        <v>1</v>
      </c>
      <c r="M49" s="272">
        <v>1</v>
      </c>
      <c r="N49" s="272">
        <v>1</v>
      </c>
      <c r="O49" s="307">
        <v>1</v>
      </c>
      <c r="P49" s="272">
        <v>1</v>
      </c>
      <c r="Q49" s="272">
        <v>1</v>
      </c>
      <c r="R49" s="541" t="s">
        <v>730</v>
      </c>
      <c r="S49" s="272">
        <v>1</v>
      </c>
      <c r="T49" s="272">
        <v>1</v>
      </c>
      <c r="U49" s="272">
        <v>1</v>
      </c>
      <c r="V49" s="272">
        <v>1</v>
      </c>
      <c r="W49" s="272">
        <v>1</v>
      </c>
      <c r="X49" s="272">
        <v>1</v>
      </c>
      <c r="Y49" s="541" t="s">
        <v>730</v>
      </c>
      <c r="Z49" s="272">
        <v>1</v>
      </c>
      <c r="AA49" s="272">
        <v>1</v>
      </c>
      <c r="AB49" s="272">
        <v>1</v>
      </c>
      <c r="AC49" s="272">
        <v>1</v>
      </c>
      <c r="AD49" s="272">
        <v>1</v>
      </c>
      <c r="AE49" s="272"/>
      <c r="AF49" s="541" t="s">
        <v>730</v>
      </c>
      <c r="AG49" s="282"/>
      <c r="AH49" s="290"/>
      <c r="AI49" s="293">
        <f t="shared" ref="AI49:AI56" si="1">SUM(C49:AH49)</f>
        <v>24</v>
      </c>
      <c r="AJ49" s="255" t="s">
        <v>1068</v>
      </c>
    </row>
    <row r="50" spans="2:36" ht="15.75">
      <c r="B50" s="257" t="s">
        <v>1174</v>
      </c>
      <c r="C50" s="374">
        <v>1</v>
      </c>
      <c r="D50" s="542"/>
      <c r="E50" s="375">
        <v>1</v>
      </c>
      <c r="F50" s="375">
        <v>1</v>
      </c>
      <c r="G50" s="377">
        <v>1</v>
      </c>
      <c r="H50" s="375">
        <v>1</v>
      </c>
      <c r="I50" s="375">
        <v>1</v>
      </c>
      <c r="J50" s="375">
        <v>1</v>
      </c>
      <c r="K50" s="542"/>
      <c r="L50" s="375">
        <v>1</v>
      </c>
      <c r="M50" s="375">
        <v>1</v>
      </c>
      <c r="N50" s="377">
        <v>1</v>
      </c>
      <c r="O50" s="375">
        <v>1</v>
      </c>
      <c r="P50" s="375">
        <v>1</v>
      </c>
      <c r="Q50" s="375">
        <v>1</v>
      </c>
      <c r="R50" s="542"/>
      <c r="S50" s="375">
        <v>1</v>
      </c>
      <c r="T50" s="375">
        <v>1</v>
      </c>
      <c r="U50" s="377">
        <v>1</v>
      </c>
      <c r="V50" s="375">
        <v>1</v>
      </c>
      <c r="W50" s="375">
        <v>1</v>
      </c>
      <c r="X50" s="375">
        <v>1</v>
      </c>
      <c r="Y50" s="542"/>
      <c r="Z50" s="375">
        <v>1</v>
      </c>
      <c r="AA50" s="375">
        <v>1</v>
      </c>
      <c r="AB50" s="377">
        <v>1</v>
      </c>
      <c r="AC50" s="375">
        <v>1</v>
      </c>
      <c r="AD50" s="375">
        <v>1</v>
      </c>
      <c r="AE50" s="375"/>
      <c r="AF50" s="542"/>
      <c r="AG50" s="373"/>
      <c r="AH50" s="290"/>
      <c r="AI50" s="285">
        <f t="shared" si="1"/>
        <v>24</v>
      </c>
      <c r="AJ50" s="265" t="s">
        <v>1174</v>
      </c>
    </row>
    <row r="51" spans="2:36" ht="15.75">
      <c r="B51" s="255" t="s">
        <v>31</v>
      </c>
      <c r="C51" s="374">
        <v>1</v>
      </c>
      <c r="D51" s="542"/>
      <c r="E51" s="375">
        <v>1</v>
      </c>
      <c r="F51" s="375">
        <v>1</v>
      </c>
      <c r="G51" s="377">
        <v>1</v>
      </c>
      <c r="H51" s="375">
        <v>1</v>
      </c>
      <c r="I51" s="375">
        <v>1</v>
      </c>
      <c r="J51" s="375">
        <v>1</v>
      </c>
      <c r="K51" s="542"/>
      <c r="L51" s="375">
        <v>1</v>
      </c>
      <c r="M51" s="375">
        <v>1</v>
      </c>
      <c r="N51" s="377">
        <v>1</v>
      </c>
      <c r="O51" s="375">
        <v>1</v>
      </c>
      <c r="P51" s="375">
        <v>1</v>
      </c>
      <c r="Q51" s="375">
        <v>1</v>
      </c>
      <c r="R51" s="542"/>
      <c r="S51" s="375">
        <v>1</v>
      </c>
      <c r="T51" s="375">
        <v>1</v>
      </c>
      <c r="U51" s="377">
        <v>1</v>
      </c>
      <c r="V51" s="375">
        <v>1</v>
      </c>
      <c r="W51" s="375">
        <v>1</v>
      </c>
      <c r="X51" s="375">
        <v>1</v>
      </c>
      <c r="Y51" s="542"/>
      <c r="Z51" s="375">
        <v>1</v>
      </c>
      <c r="AA51" s="375">
        <v>1</v>
      </c>
      <c r="AB51" s="377">
        <v>1</v>
      </c>
      <c r="AC51" s="375">
        <v>1</v>
      </c>
      <c r="AD51" s="375">
        <v>1</v>
      </c>
      <c r="AE51" s="375"/>
      <c r="AF51" s="542"/>
      <c r="AG51" s="373"/>
      <c r="AH51" s="290"/>
      <c r="AI51" s="285">
        <f t="shared" si="1"/>
        <v>24</v>
      </c>
      <c r="AJ51" s="264" t="s">
        <v>31</v>
      </c>
    </row>
    <row r="52" spans="2:36" ht="15.75">
      <c r="B52" s="255" t="s">
        <v>390</v>
      </c>
      <c r="C52" s="379">
        <v>1</v>
      </c>
      <c r="D52" s="542"/>
      <c r="E52" s="361">
        <v>1</v>
      </c>
      <c r="F52" s="361">
        <v>1</v>
      </c>
      <c r="G52" s="361">
        <v>1</v>
      </c>
      <c r="H52" s="361">
        <v>1</v>
      </c>
      <c r="I52" s="361">
        <v>1</v>
      </c>
      <c r="J52" s="361">
        <v>1</v>
      </c>
      <c r="K52" s="542"/>
      <c r="L52" s="361">
        <v>1</v>
      </c>
      <c r="M52" s="361">
        <v>1</v>
      </c>
      <c r="N52" s="361">
        <v>1</v>
      </c>
      <c r="O52" s="361">
        <v>1</v>
      </c>
      <c r="P52" s="361">
        <v>1</v>
      </c>
      <c r="Q52" s="361">
        <v>1</v>
      </c>
      <c r="R52" s="542"/>
      <c r="S52" s="361">
        <v>1</v>
      </c>
      <c r="T52" s="361">
        <v>1</v>
      </c>
      <c r="U52" s="361">
        <v>1</v>
      </c>
      <c r="V52" s="361">
        <v>1</v>
      </c>
      <c r="W52" s="361">
        <v>1</v>
      </c>
      <c r="X52" s="361">
        <v>1</v>
      </c>
      <c r="Y52" s="542"/>
      <c r="Z52" s="361">
        <v>1</v>
      </c>
      <c r="AA52" s="361">
        <v>1</v>
      </c>
      <c r="AB52" s="361">
        <v>1</v>
      </c>
      <c r="AC52" s="361">
        <v>1</v>
      </c>
      <c r="AD52" s="361">
        <v>1</v>
      </c>
      <c r="AE52" s="361"/>
      <c r="AF52" s="542"/>
      <c r="AG52" s="380"/>
      <c r="AH52" s="309"/>
      <c r="AI52" s="310">
        <f t="shared" si="1"/>
        <v>24</v>
      </c>
      <c r="AJ52" s="264" t="s">
        <v>390</v>
      </c>
    </row>
    <row r="53" spans="2:36" ht="15.75">
      <c r="B53" s="255" t="s">
        <v>32</v>
      </c>
      <c r="C53" s="374">
        <v>1</v>
      </c>
      <c r="D53" s="542"/>
      <c r="E53" s="375">
        <v>1</v>
      </c>
      <c r="F53" s="375">
        <v>1</v>
      </c>
      <c r="G53" s="377">
        <v>1</v>
      </c>
      <c r="H53" s="375">
        <v>1</v>
      </c>
      <c r="I53" s="375">
        <v>1</v>
      </c>
      <c r="J53" s="375">
        <v>1</v>
      </c>
      <c r="K53" s="542"/>
      <c r="L53" s="375">
        <v>1</v>
      </c>
      <c r="M53" s="375">
        <v>1</v>
      </c>
      <c r="N53" s="377">
        <v>1</v>
      </c>
      <c r="O53" s="375">
        <v>1</v>
      </c>
      <c r="P53" s="375">
        <v>1</v>
      </c>
      <c r="Q53" s="375">
        <v>1</v>
      </c>
      <c r="R53" s="542"/>
      <c r="S53" s="375">
        <v>1</v>
      </c>
      <c r="T53" s="375">
        <v>0</v>
      </c>
      <c r="U53" s="377">
        <v>1</v>
      </c>
      <c r="V53" s="375">
        <v>1</v>
      </c>
      <c r="W53" s="375">
        <v>1</v>
      </c>
      <c r="X53" s="375">
        <v>1</v>
      </c>
      <c r="Y53" s="542"/>
      <c r="Z53" s="375">
        <v>1</v>
      </c>
      <c r="AA53" s="375">
        <v>1</v>
      </c>
      <c r="AB53" s="377">
        <v>1</v>
      </c>
      <c r="AC53" s="375">
        <v>1</v>
      </c>
      <c r="AD53" s="375">
        <v>1</v>
      </c>
      <c r="AE53" s="375"/>
      <c r="AF53" s="542"/>
      <c r="AG53" s="373"/>
      <c r="AH53" s="290"/>
      <c r="AI53" s="285">
        <f t="shared" si="1"/>
        <v>23</v>
      </c>
      <c r="AJ53" s="264" t="s">
        <v>32</v>
      </c>
    </row>
    <row r="54" spans="2:36" ht="15.75">
      <c r="B54" s="255" t="s">
        <v>638</v>
      </c>
      <c r="C54" s="374">
        <v>1</v>
      </c>
      <c r="D54" s="542"/>
      <c r="E54" s="375">
        <v>1</v>
      </c>
      <c r="F54" s="375">
        <v>1</v>
      </c>
      <c r="G54" s="377">
        <v>0</v>
      </c>
      <c r="H54" s="375">
        <v>1</v>
      </c>
      <c r="I54" s="375">
        <v>1</v>
      </c>
      <c r="J54" s="375">
        <v>1</v>
      </c>
      <c r="K54" s="542"/>
      <c r="L54" s="375">
        <v>1</v>
      </c>
      <c r="M54" s="375">
        <v>0</v>
      </c>
      <c r="N54" s="377">
        <v>1</v>
      </c>
      <c r="O54" s="375">
        <v>1</v>
      </c>
      <c r="P54" s="375">
        <v>1</v>
      </c>
      <c r="Q54" s="375">
        <v>1</v>
      </c>
      <c r="R54" s="542"/>
      <c r="S54" s="375">
        <v>1</v>
      </c>
      <c r="T54" s="375">
        <v>1</v>
      </c>
      <c r="U54" s="377">
        <v>1</v>
      </c>
      <c r="V54" s="375">
        <v>1</v>
      </c>
      <c r="W54" s="375">
        <v>1</v>
      </c>
      <c r="X54" s="375">
        <v>1</v>
      </c>
      <c r="Y54" s="542"/>
      <c r="Z54" s="375">
        <v>1</v>
      </c>
      <c r="AA54" s="375">
        <v>1</v>
      </c>
      <c r="AB54" s="377">
        <v>1</v>
      </c>
      <c r="AC54" s="375">
        <v>1</v>
      </c>
      <c r="AD54" s="375">
        <v>1</v>
      </c>
      <c r="AE54" s="375"/>
      <c r="AF54" s="542"/>
      <c r="AG54" s="373"/>
      <c r="AH54" s="290"/>
      <c r="AI54" s="285">
        <f t="shared" si="1"/>
        <v>22</v>
      </c>
      <c r="AJ54" s="264" t="s">
        <v>638</v>
      </c>
    </row>
    <row r="55" spans="2:36" ht="16.5" thickBot="1">
      <c r="B55" s="389" t="s">
        <v>662</v>
      </c>
      <c r="C55" s="374">
        <v>1</v>
      </c>
      <c r="D55" s="542"/>
      <c r="E55" s="375">
        <v>1</v>
      </c>
      <c r="F55" s="375">
        <v>1</v>
      </c>
      <c r="G55" s="377">
        <v>1</v>
      </c>
      <c r="H55" s="375">
        <v>1</v>
      </c>
      <c r="I55" s="375">
        <v>1</v>
      </c>
      <c r="J55" s="375">
        <v>1</v>
      </c>
      <c r="K55" s="542"/>
      <c r="L55" s="375">
        <v>1</v>
      </c>
      <c r="M55" s="375">
        <v>1</v>
      </c>
      <c r="N55" s="377">
        <v>1</v>
      </c>
      <c r="O55" s="375">
        <v>1</v>
      </c>
      <c r="P55" s="375">
        <v>1</v>
      </c>
      <c r="Q55" s="375">
        <v>1</v>
      </c>
      <c r="R55" s="542"/>
      <c r="S55" s="375">
        <v>1</v>
      </c>
      <c r="T55" s="375">
        <v>1</v>
      </c>
      <c r="U55" s="377">
        <v>1</v>
      </c>
      <c r="V55" s="375">
        <v>1</v>
      </c>
      <c r="W55" s="375">
        <v>1</v>
      </c>
      <c r="X55" s="375">
        <v>1</v>
      </c>
      <c r="Y55" s="542"/>
      <c r="Z55" s="375">
        <v>1</v>
      </c>
      <c r="AA55" s="42">
        <v>1</v>
      </c>
      <c r="AB55" s="377">
        <v>1</v>
      </c>
      <c r="AC55" s="375">
        <v>1</v>
      </c>
      <c r="AD55" s="375">
        <v>1</v>
      </c>
      <c r="AE55" s="375"/>
      <c r="AF55" s="542"/>
      <c r="AG55" s="373"/>
      <c r="AH55" s="290"/>
      <c r="AI55" s="286">
        <f t="shared" si="1"/>
        <v>24</v>
      </c>
      <c r="AJ55" s="266" t="s">
        <v>662</v>
      </c>
    </row>
    <row r="56" spans="2:36" ht="16.5" thickBot="1">
      <c r="B56" s="252"/>
      <c r="C56" s="258"/>
      <c r="D56" s="543"/>
      <c r="E56" s="259"/>
      <c r="F56" s="259"/>
      <c r="G56" s="259"/>
      <c r="H56" s="259"/>
      <c r="I56" s="259"/>
      <c r="J56" s="259"/>
      <c r="K56" s="543"/>
      <c r="L56" s="259"/>
      <c r="M56" s="259"/>
      <c r="N56" s="259"/>
      <c r="O56" s="259"/>
      <c r="P56" s="259"/>
      <c r="Q56" s="259"/>
      <c r="R56" s="543"/>
      <c r="S56" s="259"/>
      <c r="T56" s="259"/>
      <c r="U56" s="259"/>
      <c r="V56" s="259"/>
      <c r="W56" s="259" t="s">
        <v>1393</v>
      </c>
      <c r="X56" s="259"/>
      <c r="Y56" s="543"/>
      <c r="Z56" s="259"/>
      <c r="AA56" s="259"/>
      <c r="AB56" s="259"/>
      <c r="AC56" s="259"/>
      <c r="AD56" s="259"/>
      <c r="AE56" s="259"/>
      <c r="AF56" s="543"/>
      <c r="AG56" s="283"/>
      <c r="AH56" s="291"/>
      <c r="AI56" s="287">
        <f t="shared" si="1"/>
        <v>0</v>
      </c>
      <c r="AJ56" s="266"/>
    </row>
    <row r="61" spans="2:36">
      <c r="AH61">
        <v>1</v>
      </c>
    </row>
  </sheetData>
  <mergeCells count="35">
    <mergeCell ref="C48:AG48"/>
    <mergeCell ref="D49:D56"/>
    <mergeCell ref="K49:K56"/>
    <mergeCell ref="R49:R56"/>
    <mergeCell ref="Y49:Y56"/>
    <mergeCell ref="AF49:AF56"/>
    <mergeCell ref="AI37:AJ37"/>
    <mergeCell ref="AF38:AF42"/>
    <mergeCell ref="C43:AG43"/>
    <mergeCell ref="D44:D47"/>
    <mergeCell ref="K44:K47"/>
    <mergeCell ref="R44:R47"/>
    <mergeCell ref="Y44:Y47"/>
    <mergeCell ref="AF44:AF47"/>
    <mergeCell ref="U17:U24"/>
    <mergeCell ref="AB17:AB24"/>
    <mergeCell ref="G17:G24"/>
    <mergeCell ref="AI4:AJ4"/>
    <mergeCell ref="C11:AG11"/>
    <mergeCell ref="C16:AG16"/>
    <mergeCell ref="AI5:AJ5"/>
    <mergeCell ref="G6:G10"/>
    <mergeCell ref="G12:G15"/>
    <mergeCell ref="N6:N10"/>
    <mergeCell ref="N17:N24"/>
    <mergeCell ref="N12:N15"/>
    <mergeCell ref="U12:U15"/>
    <mergeCell ref="AB12:AB15"/>
    <mergeCell ref="U6:U10"/>
    <mergeCell ref="AB6:AB10"/>
    <mergeCell ref="P36:U36"/>
    <mergeCell ref="D38:D42"/>
    <mergeCell ref="K38:K42"/>
    <mergeCell ref="R38:R42"/>
    <mergeCell ref="Y38:Y42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6"/>
  <sheetViews>
    <sheetView topLeftCell="A16" workbookViewId="0">
      <selection activeCell="E47" sqref="E47"/>
    </sheetView>
  </sheetViews>
  <sheetFormatPr defaultRowHeight="15"/>
  <cols>
    <col min="1" max="1" width="10" bestFit="1" customWidth="1"/>
    <col min="8" max="8" width="12.5703125" bestFit="1" customWidth="1"/>
  </cols>
  <sheetData>
    <row r="1" spans="1:8">
      <c r="A1" s="206"/>
    </row>
    <row r="2" spans="1:8">
      <c r="A2" s="206"/>
    </row>
    <row r="3" spans="1:8" ht="18.75">
      <c r="A3" s="544" t="s">
        <v>531</v>
      </c>
      <c r="B3" s="544"/>
      <c r="C3" s="544"/>
      <c r="D3" s="544"/>
      <c r="E3" s="544"/>
      <c r="F3" s="544"/>
      <c r="G3" s="544"/>
      <c r="H3" s="544"/>
    </row>
    <row r="4" spans="1:8" ht="15.75">
      <c r="A4" s="207" t="s">
        <v>523</v>
      </c>
      <c r="B4" s="208" t="s">
        <v>524</v>
      </c>
      <c r="C4" s="208" t="s">
        <v>525</v>
      </c>
      <c r="D4" s="208" t="s">
        <v>526</v>
      </c>
      <c r="E4" s="208" t="s">
        <v>527</v>
      </c>
      <c r="F4" s="208" t="s">
        <v>528</v>
      </c>
      <c r="G4" s="208" t="s">
        <v>529</v>
      </c>
      <c r="H4" s="209" t="s">
        <v>530</v>
      </c>
    </row>
    <row r="5" spans="1:8">
      <c r="A5" s="11"/>
      <c r="B5" s="11"/>
      <c r="C5" s="11"/>
      <c r="D5" s="11"/>
      <c r="E5" s="11"/>
      <c r="F5" s="11"/>
      <c r="G5" s="11"/>
      <c r="H5" s="11"/>
    </row>
    <row r="6" spans="1:8">
      <c r="A6" s="194">
        <v>45962</v>
      </c>
      <c r="B6" s="11"/>
      <c r="C6" s="11"/>
      <c r="D6" s="11"/>
      <c r="E6" s="11"/>
      <c r="F6" s="11"/>
      <c r="G6" s="11"/>
      <c r="H6" s="11"/>
    </row>
    <row r="7" spans="1:8">
      <c r="A7" s="194">
        <v>45963</v>
      </c>
      <c r="B7" s="11"/>
      <c r="C7" s="11"/>
      <c r="D7" s="11"/>
      <c r="E7" s="11"/>
      <c r="F7" s="11"/>
      <c r="G7" s="11"/>
      <c r="H7" s="11"/>
    </row>
    <row r="8" spans="1:8">
      <c r="A8" s="194">
        <v>45964</v>
      </c>
      <c r="B8" s="11"/>
      <c r="C8" s="11"/>
      <c r="D8" s="11"/>
      <c r="E8" s="11"/>
      <c r="F8" s="11"/>
      <c r="G8" s="11"/>
      <c r="H8" s="11"/>
    </row>
    <row r="9" spans="1:8">
      <c r="A9" s="194">
        <v>45965</v>
      </c>
      <c r="B9" s="11"/>
      <c r="C9" s="11"/>
      <c r="D9" s="11"/>
      <c r="E9" s="11"/>
      <c r="F9" s="11"/>
      <c r="G9" s="11"/>
      <c r="H9" s="11"/>
    </row>
    <row r="10" spans="1:8">
      <c r="A10" s="194">
        <v>45966</v>
      </c>
      <c r="B10" s="11"/>
      <c r="C10" s="11"/>
      <c r="D10" s="11"/>
      <c r="E10" s="11"/>
      <c r="F10" s="11"/>
      <c r="G10" s="11"/>
      <c r="H10" s="11"/>
    </row>
    <row r="11" spans="1:8">
      <c r="A11" s="194">
        <v>45967</v>
      </c>
      <c r="B11" s="11"/>
      <c r="C11" s="11"/>
      <c r="D11" s="11"/>
      <c r="E11" s="11"/>
      <c r="F11" s="11"/>
      <c r="G11" s="11"/>
      <c r="H11" s="11"/>
    </row>
    <row r="12" spans="1:8">
      <c r="A12" s="194">
        <v>45968</v>
      </c>
      <c r="B12" s="11"/>
      <c r="C12" s="11"/>
      <c r="D12" s="11"/>
      <c r="E12" s="11"/>
      <c r="F12" s="11"/>
      <c r="G12" s="11"/>
      <c r="H12" s="11"/>
    </row>
    <row r="13" spans="1:8">
      <c r="A13" s="194">
        <v>45969</v>
      </c>
      <c r="B13" s="11"/>
      <c r="C13" s="11"/>
      <c r="D13" s="11"/>
      <c r="E13" s="11"/>
      <c r="F13" s="11"/>
      <c r="G13" s="11"/>
      <c r="H13" s="11"/>
    </row>
    <row r="14" spans="1:8">
      <c r="A14" s="194">
        <v>45970</v>
      </c>
      <c r="B14" s="11"/>
      <c r="C14" s="11"/>
      <c r="D14" s="11"/>
      <c r="E14" s="11"/>
      <c r="F14" s="11"/>
      <c r="G14" s="11"/>
      <c r="H14" s="11"/>
    </row>
    <row r="15" spans="1:8">
      <c r="A15" s="194">
        <v>45971</v>
      </c>
      <c r="B15" s="11"/>
      <c r="C15" s="11"/>
      <c r="D15" s="11"/>
      <c r="E15" s="11"/>
      <c r="F15" s="11"/>
      <c r="G15" s="11"/>
      <c r="H15" s="11"/>
    </row>
    <row r="16" spans="1:8">
      <c r="A16" s="194">
        <v>45972</v>
      </c>
      <c r="B16" s="11"/>
      <c r="C16" s="11"/>
      <c r="D16" s="11"/>
      <c r="E16" s="11"/>
      <c r="F16" s="11"/>
      <c r="G16" s="11"/>
      <c r="H16" s="11"/>
    </row>
    <row r="17" spans="1:8">
      <c r="A17" s="194">
        <v>45973</v>
      </c>
      <c r="B17" s="11"/>
      <c r="C17" s="11"/>
      <c r="D17" s="11"/>
      <c r="E17" s="11"/>
      <c r="F17" s="11"/>
      <c r="G17" s="11"/>
      <c r="H17" s="11"/>
    </row>
    <row r="18" spans="1:8">
      <c r="A18" s="194">
        <v>45974</v>
      </c>
      <c r="B18" s="11"/>
      <c r="C18" s="11"/>
      <c r="D18" s="11"/>
      <c r="E18" s="11"/>
      <c r="F18" s="11"/>
      <c r="G18" s="11"/>
      <c r="H18" s="11"/>
    </row>
    <row r="19" spans="1:8">
      <c r="A19" s="194">
        <v>45975</v>
      </c>
      <c r="B19" s="11"/>
      <c r="C19" s="11"/>
      <c r="D19" s="11"/>
      <c r="E19" s="11"/>
      <c r="F19" s="11"/>
      <c r="G19" s="11"/>
      <c r="H19" s="11"/>
    </row>
    <row r="20" spans="1:8">
      <c r="A20" s="194">
        <v>45976</v>
      </c>
      <c r="B20" s="11"/>
      <c r="C20" s="11"/>
      <c r="D20" s="11"/>
      <c r="E20" s="11"/>
      <c r="F20" s="11"/>
      <c r="G20" s="11"/>
      <c r="H20" s="11"/>
    </row>
    <row r="21" spans="1:8">
      <c r="A21" s="194">
        <v>45977</v>
      </c>
      <c r="B21" s="11"/>
      <c r="C21" s="11"/>
      <c r="D21" s="11"/>
      <c r="E21" s="11"/>
      <c r="F21" s="11"/>
      <c r="G21" s="11"/>
      <c r="H21" s="11"/>
    </row>
    <row r="22" spans="1:8">
      <c r="A22" s="194">
        <v>45978</v>
      </c>
      <c r="B22" s="11"/>
      <c r="C22" s="11"/>
      <c r="D22" s="11"/>
      <c r="E22" s="11"/>
      <c r="F22" s="11"/>
      <c r="G22" s="11"/>
      <c r="H22" s="11"/>
    </row>
    <row r="23" spans="1:8">
      <c r="A23" s="194">
        <v>45979</v>
      </c>
      <c r="B23" s="11"/>
      <c r="C23" s="11"/>
      <c r="D23" s="11"/>
      <c r="E23" s="11"/>
      <c r="F23" s="11"/>
      <c r="G23" s="11"/>
      <c r="H23" s="11"/>
    </row>
    <row r="24" spans="1:8">
      <c r="A24" s="194">
        <v>45980</v>
      </c>
      <c r="B24" s="11"/>
      <c r="C24" s="11"/>
      <c r="D24" s="11"/>
      <c r="E24" s="11"/>
      <c r="F24" s="11"/>
      <c r="G24" s="11"/>
      <c r="H24" s="11"/>
    </row>
    <row r="25" spans="1:8">
      <c r="A25" s="194">
        <v>45981</v>
      </c>
      <c r="B25" s="11"/>
      <c r="C25" s="11"/>
      <c r="D25" s="11"/>
      <c r="E25" s="11"/>
      <c r="F25" s="11"/>
      <c r="G25" s="11"/>
      <c r="H25" s="11"/>
    </row>
    <row r="26" spans="1:8">
      <c r="A26" s="194">
        <v>45982</v>
      </c>
      <c r="B26" s="11"/>
      <c r="C26" s="11"/>
      <c r="D26" s="11"/>
      <c r="E26" s="11"/>
      <c r="F26" s="11"/>
      <c r="G26" s="11"/>
      <c r="H26" s="11"/>
    </row>
    <row r="27" spans="1:8">
      <c r="A27" s="194">
        <v>45983</v>
      </c>
      <c r="B27" s="11"/>
      <c r="C27" s="11"/>
      <c r="D27" s="11"/>
      <c r="E27" s="11"/>
      <c r="F27" s="11"/>
      <c r="G27" s="11"/>
      <c r="H27" s="11"/>
    </row>
    <row r="28" spans="1:8">
      <c r="A28" s="194">
        <v>45984</v>
      </c>
      <c r="B28" s="11"/>
      <c r="C28" s="11"/>
      <c r="D28" s="11"/>
      <c r="E28" s="11"/>
      <c r="F28" s="11"/>
      <c r="G28" s="11"/>
      <c r="H28" s="11"/>
    </row>
    <row r="29" spans="1:8">
      <c r="A29" s="194">
        <v>45985</v>
      </c>
      <c r="B29" s="11"/>
      <c r="C29" s="11"/>
      <c r="D29" s="11"/>
      <c r="E29" s="11"/>
      <c r="F29" s="11"/>
      <c r="G29" s="11"/>
      <c r="H29" s="11"/>
    </row>
    <row r="30" spans="1:8">
      <c r="A30" s="194">
        <v>45986</v>
      </c>
      <c r="B30" s="11"/>
      <c r="C30" s="11"/>
      <c r="D30" s="11"/>
      <c r="E30" s="11"/>
      <c r="F30" s="11"/>
      <c r="G30" s="11"/>
      <c r="H30" s="11"/>
    </row>
    <row r="31" spans="1:8">
      <c r="A31" s="194">
        <v>45987</v>
      </c>
      <c r="B31" s="11"/>
      <c r="C31" s="11"/>
      <c r="D31" s="11"/>
      <c r="E31" s="11"/>
      <c r="F31" s="11"/>
      <c r="G31" s="11"/>
      <c r="H31" s="11"/>
    </row>
    <row r="32" spans="1:8">
      <c r="A32" s="194">
        <v>45988</v>
      </c>
      <c r="B32" s="11"/>
      <c r="C32" s="11"/>
      <c r="D32" s="11"/>
      <c r="E32" s="11"/>
      <c r="F32" s="11"/>
      <c r="G32" s="11"/>
      <c r="H32" s="11"/>
    </row>
    <row r="33" spans="1:8">
      <c r="A33" s="194">
        <v>45989</v>
      </c>
      <c r="B33" s="11"/>
      <c r="C33" s="11"/>
      <c r="D33" s="11"/>
      <c r="E33" s="11"/>
      <c r="F33" s="11"/>
      <c r="G33" s="11"/>
      <c r="H33" s="11"/>
    </row>
    <row r="34" spans="1:8">
      <c r="A34" s="194">
        <v>45990</v>
      </c>
      <c r="B34" s="11"/>
      <c r="C34" s="11"/>
      <c r="D34" s="11"/>
      <c r="E34" s="11"/>
      <c r="F34" s="11"/>
      <c r="G34" s="11"/>
      <c r="H34" s="11"/>
    </row>
    <row r="35" spans="1:8">
      <c r="A35" s="194">
        <v>45991</v>
      </c>
      <c r="B35" s="11"/>
      <c r="C35" s="11"/>
      <c r="D35" s="11"/>
      <c r="E35" s="11"/>
      <c r="F35" s="11"/>
      <c r="G35" s="11"/>
      <c r="H35" s="11"/>
    </row>
    <row r="36" spans="1:8">
      <c r="A36" s="194"/>
      <c r="B36" s="11"/>
      <c r="C36" s="11"/>
      <c r="D36" s="11"/>
      <c r="E36" s="11"/>
      <c r="F36" s="11"/>
      <c r="G36" s="11"/>
      <c r="H36" s="11"/>
    </row>
  </sheetData>
  <mergeCells count="1">
    <mergeCell ref="A3:H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3:C3"/>
  <sheetViews>
    <sheetView workbookViewId="0">
      <selection activeCell="B32" sqref="B32"/>
    </sheetView>
  </sheetViews>
  <sheetFormatPr defaultRowHeight="15"/>
  <cols>
    <col min="1" max="1" width="11.140625" bestFit="1" customWidth="1"/>
    <col min="2" max="2" width="10.42578125" customWidth="1"/>
    <col min="3" max="3" width="15.5703125" bestFit="1" customWidth="1"/>
  </cols>
  <sheetData>
    <row r="3" spans="1:3">
      <c r="A3" t="s">
        <v>19</v>
      </c>
      <c r="B3" t="s">
        <v>1182</v>
      </c>
      <c r="C3" t="s">
        <v>1183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E3:J13"/>
  <sheetViews>
    <sheetView workbookViewId="0">
      <selection activeCell="I21" sqref="I21"/>
    </sheetView>
  </sheetViews>
  <sheetFormatPr defaultRowHeight="15"/>
  <cols>
    <col min="5" max="5" width="18.140625" bestFit="1" customWidth="1"/>
    <col min="8" max="8" width="10.140625" bestFit="1" customWidth="1"/>
    <col min="9" max="9" width="10.7109375" customWidth="1"/>
  </cols>
  <sheetData>
    <row r="3" spans="5:10">
      <c r="E3" s="435" t="s">
        <v>19</v>
      </c>
      <c r="F3" s="435" t="s">
        <v>1331</v>
      </c>
      <c r="G3" s="435" t="s">
        <v>2</v>
      </c>
      <c r="H3" s="435" t="s">
        <v>1332</v>
      </c>
      <c r="I3" s="435" t="s">
        <v>1333</v>
      </c>
      <c r="J3" s="436"/>
    </row>
    <row r="4" spans="5:10">
      <c r="E4" s="11" t="s">
        <v>1335</v>
      </c>
      <c r="F4" s="187">
        <v>45954</v>
      </c>
      <c r="G4" s="99">
        <v>280409</v>
      </c>
      <c r="H4" s="318">
        <v>45983</v>
      </c>
      <c r="I4" s="29">
        <v>21</v>
      </c>
      <c r="J4" s="11"/>
    </row>
    <row r="5" spans="5:10">
      <c r="E5" s="11" t="s">
        <v>1335</v>
      </c>
      <c r="F5" s="187">
        <v>45954</v>
      </c>
      <c r="G5" s="99">
        <v>280409</v>
      </c>
      <c r="H5" s="318">
        <v>45979</v>
      </c>
      <c r="I5" s="29">
        <v>21</v>
      </c>
      <c r="J5" s="11"/>
    </row>
    <row r="6" spans="5:10">
      <c r="E6" s="11" t="s">
        <v>1335</v>
      </c>
      <c r="F6" s="187">
        <v>45954</v>
      </c>
      <c r="G6" s="99">
        <v>280409</v>
      </c>
      <c r="H6" s="318">
        <v>45976</v>
      </c>
      <c r="I6" s="29">
        <v>21</v>
      </c>
      <c r="J6" s="11"/>
    </row>
    <row r="7" spans="5:10">
      <c r="E7" s="11" t="s">
        <v>1335</v>
      </c>
      <c r="F7" s="187">
        <v>45954</v>
      </c>
      <c r="G7" s="99">
        <v>280409</v>
      </c>
      <c r="H7" s="318">
        <v>45978</v>
      </c>
      <c r="I7" s="29">
        <v>21</v>
      </c>
      <c r="J7" s="11"/>
    </row>
    <row r="8" spans="5:10">
      <c r="E8" s="11" t="s">
        <v>1335</v>
      </c>
      <c r="F8" s="187">
        <v>45954</v>
      </c>
      <c r="G8" s="99">
        <v>280409</v>
      </c>
      <c r="H8" s="318">
        <v>45982</v>
      </c>
      <c r="I8" s="29">
        <v>21</v>
      </c>
      <c r="J8" s="11"/>
    </row>
    <row r="9" spans="5:10">
      <c r="E9" s="11" t="s">
        <v>1335</v>
      </c>
      <c r="F9" s="187">
        <v>45954</v>
      </c>
      <c r="G9" s="99">
        <v>280409</v>
      </c>
      <c r="H9" s="318">
        <v>45989</v>
      </c>
      <c r="I9" s="29">
        <v>21</v>
      </c>
      <c r="J9" s="11"/>
    </row>
    <row r="10" spans="5:10">
      <c r="E10" s="11" t="s">
        <v>1335</v>
      </c>
      <c r="F10" s="187">
        <v>45954</v>
      </c>
      <c r="G10" s="99">
        <v>280409</v>
      </c>
      <c r="H10" s="318">
        <v>45991</v>
      </c>
      <c r="I10" s="29">
        <v>21</v>
      </c>
      <c r="J10" s="11"/>
    </row>
    <row r="11" spans="5:10">
      <c r="E11" s="11" t="s">
        <v>1335</v>
      </c>
      <c r="F11" s="187">
        <v>45954</v>
      </c>
      <c r="G11" s="99">
        <v>280409</v>
      </c>
      <c r="H11" s="11"/>
      <c r="I11" s="158">
        <v>75212</v>
      </c>
      <c r="J11" s="11" t="s">
        <v>1334</v>
      </c>
    </row>
    <row r="12" spans="5:10">
      <c r="E12" s="11" t="s">
        <v>1336</v>
      </c>
      <c r="F12" s="110">
        <v>45961</v>
      </c>
      <c r="G12" s="11"/>
      <c r="H12" s="11"/>
      <c r="I12" s="158">
        <v>104355</v>
      </c>
      <c r="J12" s="11" t="s">
        <v>1334</v>
      </c>
    </row>
    <row r="13" spans="5:10">
      <c r="E13" s="11"/>
      <c r="F13" s="11"/>
      <c r="G13" s="11"/>
      <c r="H13" s="11"/>
      <c r="I13" s="11"/>
      <c r="J13" s="1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Company invoice detail</vt:lpstr>
      <vt:lpstr>Cheque list</vt:lpstr>
      <vt:lpstr>Credit sheet</vt:lpstr>
      <vt:lpstr>New Credit Sheet</vt:lpstr>
      <vt:lpstr>Discounts</vt:lpstr>
      <vt:lpstr>Attendence</vt:lpstr>
      <vt:lpstr>Received Ctns Details</vt:lpstr>
      <vt:lpstr>Contact.# W.S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ADMIN</cp:lastModifiedBy>
  <cp:lastPrinted>2025-10-24T10:49:00Z</cp:lastPrinted>
  <dcterms:created xsi:type="dcterms:W3CDTF">2025-07-09T13:12:37Z</dcterms:created>
  <dcterms:modified xsi:type="dcterms:W3CDTF">2025-11-29T07:29:32Z</dcterms:modified>
</cp:coreProperties>
</file>